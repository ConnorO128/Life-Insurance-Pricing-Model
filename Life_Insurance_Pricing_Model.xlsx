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teve\OneDrive\Desktop\Excel Projects\"/>
    </mc:Choice>
  </mc:AlternateContent>
  <xr:revisionPtr revIDLastSave="0" documentId="13_ncr:1_{C00E69FC-AF3C-4B55-8474-B48DB75F53A6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LEVEL PREMIUM Model" sheetId="11" r:id="rId1"/>
    <sheet name="YRT Model" sheetId="12" r:id="rId2"/>
    <sheet name="Sensitivity Tests" sheetId="13" r:id="rId3"/>
  </sheets>
  <definedNames>
    <definedName name="_xlnm.Print_Area" localSheetId="0">'LEVEL PREMIUM Model'!$A$1:$L$93</definedName>
    <definedName name="_xlnm.Print_Area" localSheetId="1">'YRT Model'!$A$1:$L$93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72" i="13" l="1"/>
  <c r="F72" i="13"/>
  <c r="G72" i="13"/>
  <c r="H72" i="13"/>
  <c r="I72" i="13"/>
  <c r="J72" i="13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D72" i="13"/>
  <c r="B9" i="11"/>
  <c r="B8" i="11"/>
  <c r="B4" i="11"/>
  <c r="B28" i="11"/>
  <c r="B38" i="11"/>
  <c r="B10" i="11"/>
  <c r="B73" i="11" s="1"/>
  <c r="B11" i="11"/>
  <c r="I73" i="11" s="1"/>
  <c r="B76" i="11"/>
  <c r="B39" i="11"/>
  <c r="B100" i="11"/>
  <c r="G20" i="11" s="1"/>
  <c r="B20" i="11"/>
  <c r="C27" i="11" s="1"/>
  <c r="B36" i="11"/>
  <c r="B91" i="11" s="1"/>
  <c r="B5" i="11"/>
  <c r="B32" i="11"/>
  <c r="B40" i="11"/>
  <c r="C76" i="11"/>
  <c r="D76" i="11"/>
  <c r="E76" i="11"/>
  <c r="F76" i="11"/>
  <c r="F73" i="11"/>
  <c r="G76" i="11"/>
  <c r="G73" i="11"/>
  <c r="H76" i="11"/>
  <c r="H73" i="11"/>
  <c r="I76" i="11"/>
  <c r="J76" i="11"/>
  <c r="K76" i="11"/>
  <c r="C75" i="11"/>
  <c r="D75" i="11"/>
  <c r="E75" i="11"/>
  <c r="F75" i="11"/>
  <c r="G75" i="11"/>
  <c r="H75" i="11"/>
  <c r="I75" i="11"/>
  <c r="J75" i="11"/>
  <c r="K75" i="11"/>
  <c r="B80" i="11"/>
  <c r="C71" i="11"/>
  <c r="C74" i="11"/>
  <c r="D71" i="11"/>
  <c r="D74" i="11"/>
  <c r="E71" i="11"/>
  <c r="E74" i="11"/>
  <c r="F71" i="11"/>
  <c r="F74" i="11"/>
  <c r="G71" i="11"/>
  <c r="G74" i="11"/>
  <c r="H71" i="11"/>
  <c r="H74" i="11"/>
  <c r="I71" i="11"/>
  <c r="I74" i="11"/>
  <c r="J71" i="11"/>
  <c r="J74" i="11"/>
  <c r="K71" i="11"/>
  <c r="K74" i="11"/>
  <c r="B82" i="11"/>
  <c r="B83" i="11"/>
  <c r="B15" i="11"/>
  <c r="B85" i="11"/>
  <c r="B12" i="11"/>
  <c r="L76" i="11"/>
  <c r="L73" i="11"/>
  <c r="L75" i="11"/>
  <c r="C80" i="11"/>
  <c r="L71" i="11"/>
  <c r="L74" i="11"/>
  <c r="C82" i="11"/>
  <c r="C83" i="11"/>
  <c r="C16" i="11"/>
  <c r="D16" i="11" s="1"/>
  <c r="E16" i="11" s="1"/>
  <c r="F16" i="11" s="1"/>
  <c r="G16" i="11" s="1"/>
  <c r="H16" i="11" s="1"/>
  <c r="I16" i="11" s="1"/>
  <c r="J16" i="11" s="1"/>
  <c r="C85" i="11"/>
  <c r="C5" i="11"/>
  <c r="D5" i="11" s="1"/>
  <c r="E5" i="11" s="1"/>
  <c r="F5" i="11" s="1"/>
  <c r="G5" i="11" s="1"/>
  <c r="H5" i="11" s="1"/>
  <c r="I5" i="11" s="1"/>
  <c r="J5" i="11" s="1"/>
  <c r="K5" i="11" s="1"/>
  <c r="D80" i="11"/>
  <c r="D82" i="11"/>
  <c r="D83" i="11"/>
  <c r="D85" i="11"/>
  <c r="E80" i="11"/>
  <c r="E82" i="11"/>
  <c r="E83" i="11"/>
  <c r="E85" i="11"/>
  <c r="F80" i="11"/>
  <c r="F82" i="11"/>
  <c r="F83" i="11"/>
  <c r="F85" i="11"/>
  <c r="G80" i="11"/>
  <c r="G82" i="11"/>
  <c r="G83" i="11"/>
  <c r="G85" i="11"/>
  <c r="H80" i="11"/>
  <c r="H82" i="11"/>
  <c r="H83" i="11"/>
  <c r="H85" i="11"/>
  <c r="I80" i="11"/>
  <c r="I82" i="11"/>
  <c r="I83" i="11"/>
  <c r="I85" i="11"/>
  <c r="J80" i="11"/>
  <c r="J82" i="11"/>
  <c r="J83" i="11"/>
  <c r="J85" i="11"/>
  <c r="B27" i="11"/>
  <c r="B70" i="11"/>
  <c r="C70" i="11"/>
  <c r="D70" i="11"/>
  <c r="E70" i="11"/>
  <c r="F70" i="11"/>
  <c r="G70" i="11"/>
  <c r="H70" i="11"/>
  <c r="I70" i="11"/>
  <c r="J70" i="11"/>
  <c r="K70" i="11"/>
  <c r="D18" i="11"/>
  <c r="E18" i="11"/>
  <c r="F18" i="11"/>
  <c r="G18" i="11"/>
  <c r="H18" i="11"/>
  <c r="I18" i="11"/>
  <c r="J18" i="11"/>
  <c r="K18" i="11"/>
  <c r="B89" i="11"/>
  <c r="C89" i="11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74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10" i="13"/>
  <c r="E108" i="13"/>
  <c r="F108" i="13"/>
  <c r="G108" i="13"/>
  <c r="H108" i="13"/>
  <c r="I108" i="13"/>
  <c r="J108" i="13"/>
  <c r="K108" i="13"/>
  <c r="L108" i="13"/>
  <c r="M108" i="13"/>
  <c r="N108" i="13"/>
  <c r="O108" i="13"/>
  <c r="P108" i="13"/>
  <c r="Q108" i="13"/>
  <c r="R108" i="13"/>
  <c r="D108" i="13"/>
  <c r="B5" i="12"/>
  <c r="C5" i="12" s="1"/>
  <c r="B100" i="12"/>
  <c r="B20" i="12" s="1"/>
  <c r="B4" i="12"/>
  <c r="B28" i="12"/>
  <c r="B9" i="12"/>
  <c r="B8" i="12"/>
  <c r="B38" i="12"/>
  <c r="B10" i="12"/>
  <c r="B73" i="12" s="1"/>
  <c r="B11" i="12"/>
  <c r="B76" i="12"/>
  <c r="B32" i="12"/>
  <c r="B40" i="12"/>
  <c r="B15" i="12"/>
  <c r="C76" i="12"/>
  <c r="C73" i="12"/>
  <c r="D76" i="12"/>
  <c r="E76" i="12"/>
  <c r="F76" i="12"/>
  <c r="G76" i="12"/>
  <c r="H76" i="12"/>
  <c r="H73" i="12"/>
  <c r="I76" i="12"/>
  <c r="J76" i="12"/>
  <c r="J73" i="12"/>
  <c r="K76" i="12"/>
  <c r="K73" i="12"/>
  <c r="J81" i="12" s="1"/>
  <c r="J84" i="12" s="1"/>
  <c r="C75" i="12"/>
  <c r="D75" i="12"/>
  <c r="E75" i="12"/>
  <c r="F75" i="12"/>
  <c r="G75" i="12"/>
  <c r="H75" i="12"/>
  <c r="I75" i="12"/>
  <c r="J75" i="12"/>
  <c r="K75" i="12"/>
  <c r="B80" i="12"/>
  <c r="C71" i="12"/>
  <c r="C74" i="12"/>
  <c r="D71" i="12"/>
  <c r="D74" i="12"/>
  <c r="E71" i="12"/>
  <c r="E74" i="12"/>
  <c r="F71" i="12"/>
  <c r="F74" i="12"/>
  <c r="G71" i="12"/>
  <c r="G74" i="12"/>
  <c r="H71" i="12"/>
  <c r="H74" i="12"/>
  <c r="I71" i="12"/>
  <c r="I74" i="12"/>
  <c r="J71" i="12"/>
  <c r="J74" i="12"/>
  <c r="K71" i="12"/>
  <c r="K74" i="12"/>
  <c r="B82" i="12"/>
  <c r="B83" i="12"/>
  <c r="B85" i="12"/>
  <c r="B12" i="12"/>
  <c r="C16" i="12"/>
  <c r="D16" i="12" s="1"/>
  <c r="E16" i="12" s="1"/>
  <c r="F16" i="12" s="1"/>
  <c r="G16" i="12" s="1"/>
  <c r="H16" i="12" s="1"/>
  <c r="I16" i="12" s="1"/>
  <c r="J16" i="12" s="1"/>
  <c r="L76" i="12"/>
  <c r="L73" i="12"/>
  <c r="L75" i="12"/>
  <c r="C80" i="12"/>
  <c r="L71" i="12"/>
  <c r="L74" i="12"/>
  <c r="C82" i="12"/>
  <c r="C83" i="12"/>
  <c r="C85" i="12"/>
  <c r="D80" i="12"/>
  <c r="D82" i="12"/>
  <c r="D83" i="12"/>
  <c r="D85" i="12"/>
  <c r="E80" i="12"/>
  <c r="E82" i="12"/>
  <c r="E83" i="12"/>
  <c r="E85" i="12"/>
  <c r="F20" i="12"/>
  <c r="F80" i="12"/>
  <c r="F82" i="12"/>
  <c r="F83" i="12"/>
  <c r="F85" i="12"/>
  <c r="G80" i="12"/>
  <c r="G82" i="12"/>
  <c r="G83" i="12"/>
  <c r="G85" i="12"/>
  <c r="H80" i="12"/>
  <c r="H82" i="12"/>
  <c r="H83" i="12"/>
  <c r="H85" i="12"/>
  <c r="I80" i="12"/>
  <c r="I82" i="12"/>
  <c r="I83" i="12"/>
  <c r="I85" i="12"/>
  <c r="J80" i="12"/>
  <c r="J82" i="12"/>
  <c r="J83" i="12"/>
  <c r="J85" i="12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93" i="13"/>
  <c r="Q91" i="13"/>
  <c r="R91" i="13"/>
  <c r="E91" i="13"/>
  <c r="F91" i="13"/>
  <c r="G91" i="13"/>
  <c r="H91" i="13"/>
  <c r="I91" i="13"/>
  <c r="J91" i="13"/>
  <c r="K91" i="13"/>
  <c r="L91" i="13"/>
  <c r="M91" i="13"/>
  <c r="N91" i="13"/>
  <c r="O91" i="13"/>
  <c r="P91" i="13"/>
  <c r="D91" i="13"/>
  <c r="K67" i="11"/>
  <c r="L70" i="11"/>
  <c r="E30" i="13"/>
  <c r="F30" i="13"/>
  <c r="G30" i="13"/>
  <c r="H30" i="13"/>
  <c r="I30" i="13"/>
  <c r="J30" i="13"/>
  <c r="K30" i="13"/>
  <c r="L30" i="13"/>
  <c r="M30" i="13"/>
  <c r="N30" i="13"/>
  <c r="O30" i="13"/>
  <c r="P30" i="13"/>
  <c r="Q30" i="13"/>
  <c r="R30" i="13"/>
  <c r="S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AJ30" i="13"/>
  <c r="AK30" i="13"/>
  <c r="AL30" i="13"/>
  <c r="AM30" i="13"/>
  <c r="AN30" i="13"/>
  <c r="AO30" i="13"/>
  <c r="AP30" i="13"/>
  <c r="AQ30" i="13"/>
  <c r="AR30" i="13"/>
  <c r="AS30" i="13"/>
  <c r="AT30" i="13"/>
  <c r="AU30" i="13"/>
  <c r="AV30" i="13"/>
  <c r="AW30" i="13"/>
  <c r="AX30" i="13"/>
  <c r="AY30" i="13"/>
  <c r="AZ30" i="13"/>
  <c r="BA30" i="13"/>
  <c r="BB30" i="13"/>
  <c r="BC30" i="13"/>
  <c r="BD30" i="13"/>
  <c r="BE30" i="13"/>
  <c r="BF30" i="13"/>
  <c r="BG30" i="13"/>
  <c r="BH30" i="13"/>
  <c r="D30" i="13"/>
  <c r="C46" i="13"/>
  <c r="B73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D52" i="13"/>
  <c r="E52" i="13"/>
  <c r="F52" i="13"/>
  <c r="G52" i="13"/>
  <c r="H52" i="13"/>
  <c r="I52" i="13"/>
  <c r="J52" i="13"/>
  <c r="K52" i="13"/>
  <c r="L52" i="13"/>
  <c r="M52" i="13"/>
  <c r="N52" i="13"/>
  <c r="O52" i="13"/>
  <c r="P52" i="13"/>
  <c r="Q52" i="13"/>
  <c r="R52" i="13"/>
  <c r="S52" i="13"/>
  <c r="T52" i="13"/>
  <c r="U52" i="13"/>
  <c r="V52" i="13"/>
  <c r="W52" i="13"/>
  <c r="B42" i="13"/>
  <c r="B38" i="13"/>
  <c r="B46" i="13"/>
  <c r="B26" i="13"/>
  <c r="D1" i="13"/>
  <c r="E1" i="13"/>
  <c r="F1" i="13"/>
  <c r="G1" i="13"/>
  <c r="H1" i="13"/>
  <c r="I1" i="13"/>
  <c r="J1" i="13"/>
  <c r="K1" i="13"/>
  <c r="L1" i="13"/>
  <c r="M1" i="13"/>
  <c r="N1" i="13"/>
  <c r="O1" i="13"/>
  <c r="P1" i="13"/>
  <c r="Q1" i="13"/>
  <c r="R1" i="13"/>
  <c r="S1" i="13"/>
  <c r="T1" i="13"/>
  <c r="U1" i="13"/>
  <c r="D46" i="13"/>
  <c r="E46" i="13"/>
  <c r="F46" i="13"/>
  <c r="G46" i="13"/>
  <c r="H46" i="13"/>
  <c r="I46" i="13"/>
  <c r="J46" i="13"/>
  <c r="K46" i="13"/>
  <c r="L46" i="13"/>
  <c r="M46" i="13"/>
  <c r="N46" i="13"/>
  <c r="O46" i="13"/>
  <c r="P46" i="13"/>
  <c r="Q46" i="13"/>
  <c r="R46" i="13"/>
  <c r="S46" i="13"/>
  <c r="T46" i="13"/>
  <c r="U46" i="13"/>
  <c r="V46" i="13"/>
  <c r="W46" i="13"/>
  <c r="X46" i="13"/>
  <c r="Y46" i="13"/>
  <c r="Z46" i="13"/>
  <c r="AA46" i="13"/>
  <c r="AB46" i="13"/>
  <c r="AC46" i="13"/>
  <c r="AD46" i="13"/>
  <c r="D42" i="13"/>
  <c r="E42" i="13"/>
  <c r="F42" i="13"/>
  <c r="G42" i="13"/>
  <c r="H42" i="13"/>
  <c r="I42" i="13"/>
  <c r="J42" i="13"/>
  <c r="K42" i="13"/>
  <c r="L42" i="13"/>
  <c r="M42" i="13"/>
  <c r="N42" i="13"/>
  <c r="O42" i="13"/>
  <c r="P42" i="13"/>
  <c r="D38" i="13"/>
  <c r="E38" i="13"/>
  <c r="F38" i="13"/>
  <c r="G38" i="13"/>
  <c r="H38" i="13"/>
  <c r="I38" i="13"/>
  <c r="J38" i="13"/>
  <c r="K38" i="13"/>
  <c r="L38" i="13"/>
  <c r="M38" i="13"/>
  <c r="N38" i="13"/>
  <c r="O38" i="13"/>
  <c r="P38" i="13"/>
  <c r="B34" i="13"/>
  <c r="C70" i="12"/>
  <c r="D70" i="12"/>
  <c r="E70" i="12"/>
  <c r="F70" i="12"/>
  <c r="G70" i="12"/>
  <c r="H70" i="12"/>
  <c r="I70" i="12"/>
  <c r="J70" i="12"/>
  <c r="K70" i="12"/>
  <c r="L70" i="12"/>
  <c r="C26" i="13"/>
  <c r="D26" i="13"/>
  <c r="E26" i="13"/>
  <c r="F26" i="13"/>
  <c r="G26" i="13"/>
  <c r="H26" i="13"/>
  <c r="I26" i="13"/>
  <c r="J26" i="13"/>
  <c r="K26" i="13"/>
  <c r="L26" i="13"/>
  <c r="M26" i="13"/>
  <c r="D21" i="13"/>
  <c r="E21" i="13"/>
  <c r="F21" i="13"/>
  <c r="G21" i="13"/>
  <c r="H21" i="13"/>
  <c r="I21" i="13"/>
  <c r="J21" i="13"/>
  <c r="K21" i="13"/>
  <c r="L21" i="13"/>
  <c r="M21" i="13"/>
  <c r="D16" i="13"/>
  <c r="E16" i="13"/>
  <c r="F16" i="13"/>
  <c r="G16" i="13"/>
  <c r="H16" i="13"/>
  <c r="I16" i="13"/>
  <c r="J16" i="13"/>
  <c r="K16" i="13"/>
  <c r="L16" i="13"/>
  <c r="M16" i="13"/>
  <c r="D11" i="13"/>
  <c r="E11" i="13"/>
  <c r="F11" i="13"/>
  <c r="G11" i="13"/>
  <c r="H11" i="13"/>
  <c r="I11" i="13"/>
  <c r="J11" i="13"/>
  <c r="K11" i="13"/>
  <c r="L11" i="13"/>
  <c r="M11" i="13"/>
  <c r="D6" i="13"/>
  <c r="E6" i="13"/>
  <c r="F6" i="13"/>
  <c r="G6" i="13"/>
  <c r="H6" i="13"/>
  <c r="I6" i="13"/>
  <c r="J6" i="13"/>
  <c r="K6" i="13"/>
  <c r="L6" i="13"/>
  <c r="M6" i="13"/>
  <c r="B27" i="12"/>
  <c r="K90" i="12"/>
  <c r="L90" i="12"/>
  <c r="C90" i="12"/>
  <c r="D90" i="12"/>
  <c r="E90" i="12"/>
  <c r="F90" i="12"/>
  <c r="G90" i="12"/>
  <c r="H90" i="12"/>
  <c r="I90" i="12"/>
  <c r="B70" i="12"/>
  <c r="K67" i="12"/>
  <c r="K18" i="12"/>
  <c r="J18" i="12"/>
  <c r="I18" i="12"/>
  <c r="H18" i="12"/>
  <c r="G18" i="12"/>
  <c r="F18" i="12"/>
  <c r="E18" i="12"/>
  <c r="D18" i="12"/>
  <c r="K86" i="12"/>
  <c r="K85" i="12"/>
  <c r="K80" i="12"/>
  <c r="K81" i="12"/>
  <c r="K82" i="12"/>
  <c r="K83" i="12"/>
  <c r="K84" i="12"/>
  <c r="K78" i="12"/>
  <c r="B75" i="12"/>
  <c r="B71" i="12"/>
  <c r="B74" i="12"/>
  <c r="B72" i="12"/>
  <c r="B62" i="12"/>
  <c r="C62" i="12"/>
  <c r="D62" i="12"/>
  <c r="E62" i="12"/>
  <c r="F62" i="12"/>
  <c r="G62" i="12"/>
  <c r="H62" i="12"/>
  <c r="I62" i="12"/>
  <c r="J62" i="12"/>
  <c r="K62" i="12"/>
  <c r="C19" i="12"/>
  <c r="D19" i="12"/>
  <c r="E19" i="12"/>
  <c r="F19" i="12"/>
  <c r="G19" i="12"/>
  <c r="H19" i="12"/>
  <c r="I19" i="12"/>
  <c r="J19" i="12"/>
  <c r="K19" i="12"/>
  <c r="K86" i="11"/>
  <c r="K85" i="11"/>
  <c r="K80" i="11"/>
  <c r="K81" i="11"/>
  <c r="K82" i="11"/>
  <c r="K83" i="11"/>
  <c r="K84" i="11"/>
  <c r="B75" i="11"/>
  <c r="B71" i="11"/>
  <c r="B74" i="11"/>
  <c r="B72" i="11"/>
  <c r="C90" i="11"/>
  <c r="D90" i="11"/>
  <c r="E90" i="11"/>
  <c r="F90" i="11"/>
  <c r="G90" i="11"/>
  <c r="H90" i="11"/>
  <c r="I90" i="11"/>
  <c r="B62" i="11"/>
  <c r="C62" i="11"/>
  <c r="D62" i="11"/>
  <c r="E62" i="11"/>
  <c r="F62" i="11"/>
  <c r="G62" i="11"/>
  <c r="H62" i="11"/>
  <c r="I62" i="11"/>
  <c r="J62" i="11"/>
  <c r="K62" i="11"/>
  <c r="K78" i="11"/>
  <c r="K90" i="11"/>
  <c r="L90" i="11"/>
  <c r="C19" i="11"/>
  <c r="D19" i="11"/>
  <c r="E19" i="11"/>
  <c r="F19" i="11"/>
  <c r="G19" i="11"/>
  <c r="H19" i="11"/>
  <c r="I19" i="11"/>
  <c r="J19" i="11"/>
  <c r="K19" i="11"/>
  <c r="E73" i="11" l="1"/>
  <c r="D73" i="11"/>
  <c r="D73" i="12"/>
  <c r="C73" i="11"/>
  <c r="K73" i="11"/>
  <c r="J81" i="11" s="1"/>
  <c r="J84" i="11" s="1"/>
  <c r="F81" i="11"/>
  <c r="F84" i="11" s="1"/>
  <c r="B81" i="11"/>
  <c r="B84" i="11" s="1"/>
  <c r="D81" i="11"/>
  <c r="D84" i="11" s="1"/>
  <c r="C81" i="11"/>
  <c r="C84" i="11" s="1"/>
  <c r="I81" i="12"/>
  <c r="I84" i="12" s="1"/>
  <c r="E81" i="11"/>
  <c r="E84" i="11" s="1"/>
  <c r="I73" i="12"/>
  <c r="H81" i="12" s="1"/>
  <c r="H84" i="12" s="1"/>
  <c r="B39" i="12"/>
  <c r="G73" i="12"/>
  <c r="F73" i="12"/>
  <c r="E81" i="12" s="1"/>
  <c r="E84" i="12" s="1"/>
  <c r="E73" i="12"/>
  <c r="D81" i="12" s="1"/>
  <c r="D84" i="12" s="1"/>
  <c r="J73" i="11"/>
  <c r="I20" i="11"/>
  <c r="B33" i="11"/>
  <c r="B34" i="11" s="1"/>
  <c r="B93" i="11"/>
  <c r="B53" i="11" s="1"/>
  <c r="B92" i="11"/>
  <c r="B54" i="11" s="1"/>
  <c r="C32" i="11"/>
  <c r="C40" i="11" s="1"/>
  <c r="C28" i="11"/>
  <c r="B36" i="12"/>
  <c r="C27" i="12"/>
  <c r="E20" i="12"/>
  <c r="C20" i="11"/>
  <c r="D27" i="11" s="1"/>
  <c r="C20" i="12"/>
  <c r="H20" i="12"/>
  <c r="J20" i="11"/>
  <c r="I20" i="12"/>
  <c r="K20" i="11"/>
  <c r="D20" i="11"/>
  <c r="J20" i="12"/>
  <c r="F20" i="11"/>
  <c r="H20" i="11"/>
  <c r="G20" i="12"/>
  <c r="E20" i="11"/>
  <c r="K20" i="12"/>
  <c r="D20" i="12"/>
  <c r="D5" i="12"/>
  <c r="E5" i="12" s="1"/>
  <c r="F5" i="12" s="1"/>
  <c r="G5" i="12" s="1"/>
  <c r="H5" i="12" s="1"/>
  <c r="I5" i="12" s="1"/>
  <c r="J5" i="12" s="1"/>
  <c r="K5" i="12" s="1"/>
  <c r="F81" i="12" l="1"/>
  <c r="F84" i="12" s="1"/>
  <c r="I81" i="11"/>
  <c r="I84" i="11" s="1"/>
  <c r="B33" i="12"/>
  <c r="B34" i="12" s="1"/>
  <c r="H81" i="11"/>
  <c r="H84" i="11" s="1"/>
  <c r="C81" i="12"/>
  <c r="C84" i="12" s="1"/>
  <c r="G81" i="11"/>
  <c r="G84" i="11" s="1"/>
  <c r="B81" i="12"/>
  <c r="B84" i="12" s="1"/>
  <c r="G81" i="12"/>
  <c r="G84" i="12" s="1"/>
  <c r="D28" i="11"/>
  <c r="E27" i="11"/>
  <c r="F27" i="11" s="1"/>
  <c r="D32" i="11"/>
  <c r="D40" i="11" s="1"/>
  <c r="D27" i="12"/>
  <c r="C28" i="12"/>
  <c r="C32" i="12"/>
  <c r="C40" i="12" s="1"/>
  <c r="B86" i="11"/>
  <c r="B87" i="11" s="1"/>
  <c r="C36" i="11"/>
  <c r="C91" i="11" s="1"/>
  <c r="B91" i="12"/>
  <c r="C39" i="11"/>
  <c r="D36" i="11"/>
  <c r="D91" i="11" s="1"/>
  <c r="D92" i="11" s="1"/>
  <c r="D54" i="11" s="1"/>
  <c r="C86" i="11"/>
  <c r="C87" i="11" s="1"/>
  <c r="D39" i="11"/>
  <c r="E32" i="11"/>
  <c r="E28" i="11"/>
  <c r="E39" i="11" s="1"/>
  <c r="D93" i="11" l="1"/>
  <c r="D53" i="11" s="1"/>
  <c r="B92" i="12"/>
  <c r="B54" i="12" s="1"/>
  <c r="B93" i="12"/>
  <c r="B53" i="12" s="1"/>
  <c r="B88" i="11"/>
  <c r="B41" i="11" s="1"/>
  <c r="B42" i="11" s="1"/>
  <c r="B44" i="11" s="1"/>
  <c r="B45" i="11" s="1"/>
  <c r="B46" i="11" s="1"/>
  <c r="B55" i="11" s="1"/>
  <c r="C33" i="11"/>
  <c r="C34" i="11" s="1"/>
  <c r="C92" i="11"/>
  <c r="C54" i="11" s="1"/>
  <c r="C93" i="11"/>
  <c r="C53" i="11" s="1"/>
  <c r="B86" i="12"/>
  <c r="B87" i="12" s="1"/>
  <c r="C36" i="12"/>
  <c r="C91" i="12" s="1"/>
  <c r="E27" i="12"/>
  <c r="D28" i="12"/>
  <c r="D32" i="12"/>
  <c r="D40" i="12" s="1"/>
  <c r="C39" i="12"/>
  <c r="C88" i="11"/>
  <c r="C41" i="11" s="1"/>
  <c r="C42" i="11" s="1"/>
  <c r="C44" i="11" s="1"/>
  <c r="D33" i="11"/>
  <c r="D34" i="11" s="1"/>
  <c r="D86" i="11"/>
  <c r="D87" i="11" s="1"/>
  <c r="E36" i="11"/>
  <c r="G27" i="11"/>
  <c r="F28" i="11"/>
  <c r="F32" i="11"/>
  <c r="F39" i="11"/>
  <c r="E40" i="11"/>
  <c r="E28" i="12" l="1"/>
  <c r="E32" i="12"/>
  <c r="E40" i="12" s="1"/>
  <c r="F27" i="12"/>
  <c r="E39" i="12"/>
  <c r="B88" i="12"/>
  <c r="B41" i="12" s="1"/>
  <c r="B42" i="12" s="1"/>
  <c r="B44" i="12" s="1"/>
  <c r="B45" i="12" s="1"/>
  <c r="B46" i="12" s="1"/>
  <c r="B55" i="12" s="1"/>
  <c r="C33" i="12"/>
  <c r="C34" i="12" s="1"/>
  <c r="D39" i="12"/>
  <c r="C86" i="12"/>
  <c r="C87" i="12" s="1"/>
  <c r="D36" i="12"/>
  <c r="D91" i="12" s="1"/>
  <c r="D92" i="12" s="1"/>
  <c r="D54" i="12" s="1"/>
  <c r="C92" i="12"/>
  <c r="C54" i="12" s="1"/>
  <c r="C93" i="12"/>
  <c r="C53" i="12" s="1"/>
  <c r="C45" i="11"/>
  <c r="C46" i="11" s="1"/>
  <c r="C55" i="11" s="1"/>
  <c r="F40" i="11"/>
  <c r="D88" i="11"/>
  <c r="D41" i="11" s="1"/>
  <c r="D42" i="11" s="1"/>
  <c r="D44" i="11" s="1"/>
  <c r="E33" i="11"/>
  <c r="H27" i="11"/>
  <c r="G28" i="11"/>
  <c r="G39" i="11" s="1"/>
  <c r="G32" i="11"/>
  <c r="E91" i="11"/>
  <c r="F36" i="11"/>
  <c r="E86" i="11"/>
  <c r="E87" i="11" s="1"/>
  <c r="F32" i="12" l="1"/>
  <c r="F40" i="12" s="1"/>
  <c r="G27" i="12"/>
  <c r="F28" i="12"/>
  <c r="C88" i="12"/>
  <c r="C41" i="12" s="1"/>
  <c r="C42" i="12" s="1"/>
  <c r="C44" i="12" s="1"/>
  <c r="C45" i="12" s="1"/>
  <c r="C46" i="12" s="1"/>
  <c r="C55" i="12" s="1"/>
  <c r="D33" i="12"/>
  <c r="D93" i="12"/>
  <c r="D53" i="12" s="1"/>
  <c r="D86" i="12"/>
  <c r="D87" i="12" s="1"/>
  <c r="E36" i="12"/>
  <c r="E91" i="12" s="1"/>
  <c r="F91" i="11"/>
  <c r="E88" i="11"/>
  <c r="E41" i="11" s="1"/>
  <c r="E42" i="11" s="1"/>
  <c r="E44" i="11" s="1"/>
  <c r="F33" i="11"/>
  <c r="E93" i="11"/>
  <c r="E53" i="11" s="1"/>
  <c r="E92" i="11"/>
  <c r="E54" i="11" s="1"/>
  <c r="G40" i="11"/>
  <c r="F86" i="11"/>
  <c r="F87" i="11" s="1"/>
  <c r="G36" i="11"/>
  <c r="I27" i="11"/>
  <c r="H28" i="11"/>
  <c r="H39" i="11" s="1"/>
  <c r="H32" i="11"/>
  <c r="D45" i="11"/>
  <c r="D46" i="11" s="1"/>
  <c r="E34" i="11"/>
  <c r="D88" i="12" l="1"/>
  <c r="D41" i="12" s="1"/>
  <c r="D42" i="12" s="1"/>
  <c r="E33" i="12"/>
  <c r="E34" i="12" s="1"/>
  <c r="E86" i="12"/>
  <c r="E87" i="12" s="1"/>
  <c r="F36" i="12"/>
  <c r="F91" i="12" s="1"/>
  <c r="F39" i="12"/>
  <c r="D44" i="12"/>
  <c r="D34" i="12"/>
  <c r="H27" i="12"/>
  <c r="G28" i="12"/>
  <c r="G32" i="12"/>
  <c r="G40" i="12" s="1"/>
  <c r="G39" i="12"/>
  <c r="E92" i="12"/>
  <c r="E54" i="12" s="1"/>
  <c r="E93" i="12"/>
  <c r="E53" i="12" s="1"/>
  <c r="E45" i="11"/>
  <c r="E46" i="11" s="1"/>
  <c r="G91" i="11"/>
  <c r="F34" i="11"/>
  <c r="D55" i="11"/>
  <c r="I28" i="11"/>
  <c r="I39" i="11" s="1"/>
  <c r="J27" i="11"/>
  <c r="I32" i="11"/>
  <c r="H40" i="11"/>
  <c r="G86" i="11"/>
  <c r="G87" i="11" s="1"/>
  <c r="H36" i="11"/>
  <c r="F93" i="11"/>
  <c r="F53" i="11" s="1"/>
  <c r="F92" i="11"/>
  <c r="F54" i="11" s="1"/>
  <c r="G33" i="11"/>
  <c r="F88" i="11"/>
  <c r="F41" i="11" s="1"/>
  <c r="F42" i="11" s="1"/>
  <c r="F44" i="11" s="1"/>
  <c r="F93" i="12" l="1"/>
  <c r="F53" i="12" s="1"/>
  <c r="F92" i="12"/>
  <c r="F54" i="12" s="1"/>
  <c r="E88" i="12"/>
  <c r="E41" i="12" s="1"/>
  <c r="E42" i="12" s="1"/>
  <c r="E44" i="12" s="1"/>
  <c r="E45" i="12" s="1"/>
  <c r="E46" i="12" s="1"/>
  <c r="E55" i="12" s="1"/>
  <c r="F33" i="12"/>
  <c r="G36" i="12"/>
  <c r="G91" i="12" s="1"/>
  <c r="F86" i="12"/>
  <c r="F87" i="12" s="1"/>
  <c r="H32" i="12"/>
  <c r="H40" i="12" s="1"/>
  <c r="I27" i="12"/>
  <c r="H28" i="12"/>
  <c r="D45" i="12"/>
  <c r="D46" i="12" s="1"/>
  <c r="D55" i="12" s="1"/>
  <c r="F45" i="11"/>
  <c r="F46" i="11" s="1"/>
  <c r="F55" i="11" s="1"/>
  <c r="E55" i="11"/>
  <c r="H91" i="11"/>
  <c r="I40" i="11"/>
  <c r="G92" i="11"/>
  <c r="G54" i="11" s="1"/>
  <c r="G93" i="11"/>
  <c r="G53" i="11" s="1"/>
  <c r="H86" i="11"/>
  <c r="H87" i="11" s="1"/>
  <c r="I36" i="11"/>
  <c r="G88" i="11"/>
  <c r="G41" i="11" s="1"/>
  <c r="G42" i="11" s="1"/>
  <c r="G44" i="11" s="1"/>
  <c r="H33" i="11"/>
  <c r="G34" i="11"/>
  <c r="J32" i="11"/>
  <c r="J28" i="11"/>
  <c r="K27" i="11"/>
  <c r="J27" i="12" l="1"/>
  <c r="I32" i="12"/>
  <c r="I40" i="12" s="1"/>
  <c r="I28" i="12"/>
  <c r="H36" i="12"/>
  <c r="H91" i="12" s="1"/>
  <c r="G86" i="12"/>
  <c r="G87" i="12" s="1"/>
  <c r="F34" i="12"/>
  <c r="H39" i="12"/>
  <c r="G33" i="12"/>
  <c r="F88" i="12"/>
  <c r="F41" i="12" s="1"/>
  <c r="F42" i="12" s="1"/>
  <c r="F44" i="12" s="1"/>
  <c r="G93" i="12"/>
  <c r="G53" i="12" s="1"/>
  <c r="G92" i="12"/>
  <c r="G54" i="12" s="1"/>
  <c r="I86" i="11"/>
  <c r="I87" i="11" s="1"/>
  <c r="J36" i="11"/>
  <c r="K28" i="11"/>
  <c r="K39" i="11" s="1"/>
  <c r="K32" i="11"/>
  <c r="J40" i="11"/>
  <c r="J39" i="11"/>
  <c r="I91" i="11"/>
  <c r="H88" i="11"/>
  <c r="H41" i="11" s="1"/>
  <c r="H42" i="11" s="1"/>
  <c r="H44" i="11" s="1"/>
  <c r="I33" i="11"/>
  <c r="G45" i="11"/>
  <c r="G46" i="11" s="1"/>
  <c r="H93" i="11"/>
  <c r="H53" i="11" s="1"/>
  <c r="H92" i="11"/>
  <c r="H54" i="11" s="1"/>
  <c r="H34" i="11"/>
  <c r="F45" i="12" l="1"/>
  <c r="F46" i="12" s="1"/>
  <c r="F55" i="12" s="1"/>
  <c r="G88" i="12"/>
  <c r="G41" i="12" s="1"/>
  <c r="G42" i="12" s="1"/>
  <c r="H33" i="12"/>
  <c r="H34" i="12" s="1"/>
  <c r="I39" i="12"/>
  <c r="I36" i="12"/>
  <c r="I91" i="12" s="1"/>
  <c r="H86" i="12"/>
  <c r="H87" i="12" s="1"/>
  <c r="G34" i="12"/>
  <c r="G44" i="12"/>
  <c r="H93" i="12"/>
  <c r="H53" i="12" s="1"/>
  <c r="H92" i="12"/>
  <c r="H54" i="12" s="1"/>
  <c r="J32" i="12"/>
  <c r="J40" i="12" s="1"/>
  <c r="J28" i="12"/>
  <c r="K27" i="12"/>
  <c r="H45" i="11"/>
  <c r="H46" i="11" s="1"/>
  <c r="H55" i="11" s="1"/>
  <c r="G55" i="11"/>
  <c r="K40" i="11"/>
  <c r="J91" i="11"/>
  <c r="I34" i="11"/>
  <c r="K36" i="11"/>
  <c r="J86" i="11"/>
  <c r="J87" i="11" s="1"/>
  <c r="I93" i="11"/>
  <c r="I53" i="11" s="1"/>
  <c r="I92" i="11"/>
  <c r="I54" i="11" s="1"/>
  <c r="I88" i="11"/>
  <c r="I41" i="11" s="1"/>
  <c r="I42" i="11" s="1"/>
  <c r="I44" i="11" s="1"/>
  <c r="J33" i="11"/>
  <c r="K28" i="12" l="1"/>
  <c r="K32" i="12"/>
  <c r="K40" i="12" s="1"/>
  <c r="H88" i="12"/>
  <c r="H41" i="12" s="1"/>
  <c r="H42" i="12" s="1"/>
  <c r="H44" i="12" s="1"/>
  <c r="I33" i="12"/>
  <c r="I34" i="12" s="1"/>
  <c r="J39" i="12"/>
  <c r="J36" i="12"/>
  <c r="J91" i="12" s="1"/>
  <c r="I86" i="12"/>
  <c r="I87" i="12" s="1"/>
  <c r="I93" i="12"/>
  <c r="I53" i="12" s="1"/>
  <c r="I92" i="12"/>
  <c r="I54" i="12" s="1"/>
  <c r="G45" i="12"/>
  <c r="G46" i="12" s="1"/>
  <c r="G55" i="12" s="1"/>
  <c r="I45" i="11"/>
  <c r="I46" i="11" s="1"/>
  <c r="I55" i="11" s="1"/>
  <c r="J93" i="11"/>
  <c r="J53" i="11" s="1"/>
  <c r="J92" i="11"/>
  <c r="J54" i="11" s="1"/>
  <c r="J34" i="11"/>
  <c r="J88" i="11"/>
  <c r="J41" i="11" s="1"/>
  <c r="J42" i="11" s="1"/>
  <c r="J44" i="11" s="1"/>
  <c r="K33" i="11"/>
  <c r="K88" i="11"/>
  <c r="K41" i="11" s="1"/>
  <c r="K42" i="11" s="1"/>
  <c r="K91" i="11"/>
  <c r="J92" i="12" l="1"/>
  <c r="J54" i="12" s="1"/>
  <c r="J93" i="12"/>
  <c r="J53" i="12" s="1"/>
  <c r="I88" i="12"/>
  <c r="I41" i="12" s="1"/>
  <c r="I42" i="12" s="1"/>
  <c r="I44" i="12" s="1"/>
  <c r="J33" i="12"/>
  <c r="J34" i="12" s="1"/>
  <c r="H45" i="12"/>
  <c r="H46" i="12" s="1"/>
  <c r="H55" i="12" s="1"/>
  <c r="K39" i="12"/>
  <c r="J86" i="12"/>
  <c r="J87" i="12" s="1"/>
  <c r="K36" i="12"/>
  <c r="K91" i="12" s="1"/>
  <c r="J45" i="11"/>
  <c r="J46" i="11" s="1"/>
  <c r="J55" i="11" s="1"/>
  <c r="K92" i="11"/>
  <c r="K54" i="11" s="1"/>
  <c r="L92" i="11"/>
  <c r="L54" i="11" s="1"/>
  <c r="L55" i="11" s="1"/>
  <c r="K93" i="11"/>
  <c r="K53" i="11" s="1"/>
  <c r="K44" i="11"/>
  <c r="K34" i="11"/>
  <c r="K33" i="12" l="1"/>
  <c r="K88" i="12"/>
  <c r="K41" i="12" s="1"/>
  <c r="K42" i="12" s="1"/>
  <c r="J88" i="12"/>
  <c r="J41" i="12" s="1"/>
  <c r="J42" i="12" s="1"/>
  <c r="J44" i="12" s="1"/>
  <c r="L92" i="12"/>
  <c r="L54" i="12" s="1"/>
  <c r="L55" i="12" s="1"/>
  <c r="K92" i="12"/>
  <c r="K54" i="12" s="1"/>
  <c r="K93" i="12"/>
  <c r="K53" i="12" s="1"/>
  <c r="I45" i="12"/>
  <c r="I46" i="12" s="1"/>
  <c r="I55" i="12" s="1"/>
  <c r="K45" i="11"/>
  <c r="K46" i="11" s="1"/>
  <c r="J45" i="12" l="1"/>
  <c r="J46" i="12" s="1"/>
  <c r="K44" i="12"/>
  <c r="K45" i="12" s="1"/>
  <c r="K46" i="12" s="1"/>
  <c r="K55" i="12" s="1"/>
  <c r="K34" i="12"/>
  <c r="K55" i="11"/>
  <c r="B50" i="11"/>
  <c r="B49" i="11"/>
  <c r="J55" i="12" l="1"/>
  <c r="B49" i="12"/>
  <c r="B50" i="12"/>
  <c r="B57" i="11"/>
  <c r="B56" i="11"/>
  <c r="B57" i="12" l="1"/>
  <c r="B56" i="12"/>
  <c r="B2" i="13"/>
  <c r="B43" i="13"/>
  <c r="B91" i="13"/>
  <c r="B52" i="13"/>
  <c r="B47" i="13"/>
  <c r="B7" i="13"/>
  <c r="B12" i="13" s="1"/>
  <c r="B35" i="13"/>
  <c r="B39" i="13"/>
  <c r="B31" i="13"/>
  <c r="B72" i="13" l="1"/>
  <c r="B48" i="13"/>
  <c r="B40" i="13"/>
  <c r="B36" i="13"/>
  <c r="B44" i="13"/>
  <c r="B8" i="13"/>
  <c r="B13" i="13" s="1"/>
  <c r="B18" i="13" s="1"/>
  <c r="B23" i="13" s="1"/>
  <c r="B28" i="13" s="1"/>
  <c r="B3" i="13"/>
  <c r="B32" i="13"/>
  <c r="B108" i="13"/>
  <c r="B17" i="13"/>
  <c r="B22" i="13"/>
  <c r="B27" i="13" s="1"/>
</calcChain>
</file>

<file path=xl/sharedStrings.xml><?xml version="1.0" encoding="utf-8"?>
<sst xmlns="http://schemas.openxmlformats.org/spreadsheetml/2006/main" count="658" uniqueCount="102">
  <si>
    <t/>
  </si>
  <si>
    <t xml:space="preserve"> </t>
  </si>
  <si>
    <t xml:space="preserve">                                Input Items: (rows 1-21)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</si>
  <si>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Section</t>
  </si>
  <si>
    <t>Input Items</t>
  </si>
  <si>
    <t>Average Face amount Per Policy</t>
  </si>
  <si>
    <t>Earned Interest Rate</t>
  </si>
  <si>
    <t>Expenses</t>
  </si>
  <si>
    <t>Acquisition Expense Per Policy</t>
  </si>
  <si>
    <t>Acquisition Expense Per $1000 face amount</t>
  </si>
  <si>
    <t>Maintenance Expense Per Policy Per year</t>
  </si>
  <si>
    <t>Maintenance Expense Per $1000 inforce</t>
  </si>
  <si>
    <t>Tax rate</t>
  </si>
  <si>
    <t>Year</t>
  </si>
  <si>
    <t>Premium per $1000</t>
  </si>
  <si>
    <t>First year Lapse rate</t>
  </si>
  <si>
    <t>Renewal Years Lapse rates</t>
  </si>
  <si>
    <t>First year Comission rate</t>
  </si>
  <si>
    <t>Renewal Commission rate</t>
  </si>
  <si>
    <t>Age</t>
  </si>
  <si>
    <t>Best Estimate mortality rate</t>
  </si>
  <si>
    <t>Benchmark Surplus as % of expected one year claims</t>
  </si>
  <si>
    <t>Notes and assumptions:</t>
  </si>
  <si>
    <t xml:space="preserve">Timing of cash Flows:  </t>
  </si>
  <si>
    <t>Premiums and acquisition expenses (incl commissions) are paid  at the beginning of the year</t>
  </si>
  <si>
    <t>Death benefits and maintenance expenses occur uniformly throughout the year</t>
  </si>
  <si>
    <t>Intermediate Calculations</t>
  </si>
  <si>
    <t xml:space="preserve"> Beginning of Year</t>
  </si>
  <si>
    <t>Number of policies in force</t>
  </si>
  <si>
    <t>Face Amount in Force</t>
  </si>
  <si>
    <t>Statutory Income Statement- Cash Flows</t>
  </si>
  <si>
    <t>Statutory Income</t>
  </si>
  <si>
    <t>Premiums</t>
  </si>
  <si>
    <t>Net Investment Income</t>
  </si>
  <si>
    <t>Sub-total-income</t>
  </si>
  <si>
    <t>Death Benefits Paid</t>
  </si>
  <si>
    <t>Expenses:</t>
  </si>
  <si>
    <t xml:space="preserve">       Acquisition</t>
  </si>
  <si>
    <t xml:space="preserve">      Maintenance</t>
  </si>
  <si>
    <t xml:space="preserve">      Commissions</t>
  </si>
  <si>
    <t>Change in Reserve</t>
  </si>
  <si>
    <t>Sub-total-benefits and expenses</t>
  </si>
  <si>
    <t>Pre-tax income</t>
  </si>
  <si>
    <t>Taxes</t>
  </si>
  <si>
    <t>After-tax Income</t>
  </si>
  <si>
    <t>Net Present Value of Cash Flows</t>
  </si>
  <si>
    <t>IRR</t>
  </si>
  <si>
    <t>Effect of Benchmark Surplus:</t>
  </si>
  <si>
    <t>After-tax interest earned on Benchmark Surplus</t>
  </si>
  <si>
    <t>Increase in Benchmark Surplus</t>
  </si>
  <si>
    <t>Total Distributable Earnings</t>
  </si>
  <si>
    <t>Risk Adjusted IRR</t>
  </si>
  <si>
    <t xml:space="preserve">Net present value of Distributable earnings </t>
  </si>
  <si>
    <t>Section                                                                                                                                                                                                                                                                                                                                                                                                Spring 2023</t>
  </si>
  <si>
    <t>Statutory Reserves</t>
  </si>
  <si>
    <t xml:space="preserve">Statutory Assumptions </t>
  </si>
  <si>
    <t xml:space="preserve">Interest rate    </t>
  </si>
  <si>
    <t>Age:</t>
  </si>
  <si>
    <t xml:space="preserve"> STAT mortality assumption = 2001 CSO</t>
  </si>
  <si>
    <t xml:space="preserve">Statutory Lapse rates </t>
  </si>
  <si>
    <t xml:space="preserve">Lapse rates </t>
  </si>
  <si>
    <t>Premium</t>
  </si>
  <si>
    <t>Acq Exp</t>
  </si>
  <si>
    <t>Maintenance expenses</t>
  </si>
  <si>
    <t>Commissions</t>
  </si>
  <si>
    <t>Death benefits</t>
  </si>
  <si>
    <t>Face Amount In-Force</t>
  </si>
  <si>
    <t>End of year</t>
  </si>
  <si>
    <t>STAT  Reserve equals</t>
  </si>
  <si>
    <t xml:space="preserve">PV future benefits </t>
  </si>
  <si>
    <t>plus PV future maint expenses</t>
  </si>
  <si>
    <t>plus PV future commissions</t>
  </si>
  <si>
    <t xml:space="preserve">minus PV future Premiums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</si>
  <si>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STAT  reserve</t>
  </si>
  <si>
    <t>In Force based on statutory reserve assumptions</t>
  </si>
  <si>
    <t>Best Estimate  In Force insurance amount</t>
  </si>
  <si>
    <t>Stat Reserve for Best Estimate In-Force Amount</t>
  </si>
  <si>
    <t>Increase in STAT Reserve</t>
  </si>
  <si>
    <t>Benchmark Surplus calculations:</t>
  </si>
  <si>
    <t>Benchmark Surplus</t>
  </si>
  <si>
    <t>Change in Benchmark Surplus</t>
  </si>
  <si>
    <t>After-tax Interest earned on Benchmark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</si>
  <si>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Fall 2021</t>
  </si>
  <si>
    <t>Mortality Factor</t>
  </si>
  <si>
    <t>Best estimate mortality rates</t>
  </si>
  <si>
    <t>Number of Policies Sold                                                                                                                                                                                                                                                                                                                                                                   Fall 2024</t>
  </si>
  <si>
    <t>Statutory Reserve Calculations:                                                                                                                                                                                                                                                                                                                                                      Fall 2024</t>
  </si>
  <si>
    <t>Beginning of Year                                                                                                                                                                                                                                                                                                                                                                                      Fall 2024</t>
  </si>
  <si>
    <t>Average Face Amount Per Policy</t>
  </si>
  <si>
    <t>Level Premium</t>
  </si>
  <si>
    <t>YRT</t>
  </si>
  <si>
    <t xml:space="preserve">Yearly Renewable Term Insurance Female age 40 Smoker                                                                                                                                                                                                                                                                                                                Spring 2024                                                               </t>
  </si>
  <si>
    <t>Opportunity Cost of Capital</t>
  </si>
  <si>
    <t>Tax Rate</t>
  </si>
  <si>
    <t xml:space="preserve">Level Premium Insurance Female age 40 Smoker                                                                                                                                                                                                                                                                                                                Spring 2024                                                               </t>
  </si>
  <si>
    <t xml:space="preserve">YRT </t>
  </si>
  <si>
    <t>First Year Lapse Rate</t>
  </si>
  <si>
    <t>Renewal Lapse Rates</t>
  </si>
  <si>
    <t>Mortality Factors</t>
  </si>
  <si>
    <t>Level Premium Scenario</t>
  </si>
  <si>
    <t xml:space="preserve">Mortality Factors </t>
  </si>
  <si>
    <t>YRT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</si>
</sst>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_(&quot;$&quot;* #,##0_);_(&quot;$&quot;* \(#,##0\);_(&quot;$&quot;* &quot;-&quot;?_);_(@_)"/>
    <numFmt numFmtId="168" formatCode="0.000000"/>
    <numFmt numFmtId="169" formatCode="_(* #,##0.0_);_(* \(#,##0.0\);_(* &quot;-&quot;?_);_(@_)"/>
    <numFmt numFmtId="170" formatCode="0.000%"/>
  </numFmts>
  <fonts count="10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168" fontId="1" fillId="0" borderId="1" xfId="0" applyNumberFormat="1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0" fontId="4" fillId="0" borderId="0" xfId="0" applyNumberFormat="1" applyFont="1" applyAlignment="1" applyProtection="1">
      <alignment horizontal="center"/>
      <protection locked="0"/>
    </xf>
    <xf numFmtId="44" fontId="4" fillId="0" borderId="0" xfId="0" applyNumberFormat="1" applyFont="1" applyAlignment="1" applyProtection="1">
      <alignment horizontal="center"/>
      <protection locked="0"/>
    </xf>
    <xf numFmtId="44" fontId="4" fillId="0" borderId="0" xfId="2" applyFont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center"/>
      <protection locked="0"/>
    </xf>
    <xf numFmtId="1" fontId="5" fillId="2" borderId="0" xfId="0" applyNumberFormat="1" applyFont="1" applyFill="1" applyAlignment="1" applyProtection="1">
      <alignment horizontal="center"/>
      <protection locked="0"/>
    </xf>
    <xf numFmtId="0" fontId="0" fillId="0" borderId="0" xfId="0" quotePrefix="1" applyProtection="1">
      <protection locked="0"/>
    </xf>
    <xf numFmtId="166" fontId="2" fillId="0" borderId="0" xfId="1" applyNumberFormat="1" applyFont="1" applyProtection="1">
      <protection locked="0"/>
    </xf>
    <xf numFmtId="43" fontId="2" fillId="0" borderId="0" xfId="1" applyFont="1" applyProtection="1">
      <protection locked="0"/>
    </xf>
    <xf numFmtId="164" fontId="2" fillId="0" borderId="0" xfId="3" applyNumberFormat="1" applyFont="1" applyProtection="1">
      <protection locked="0"/>
    </xf>
    <xf numFmtId="165" fontId="2" fillId="0" borderId="0" xfId="2" applyNumberFormat="1" applyFont="1" applyProtection="1">
      <protection locked="0"/>
    </xf>
    <xf numFmtId="44" fontId="2" fillId="0" borderId="0" xfId="2" applyFont="1" applyProtection="1">
      <protection locked="0"/>
    </xf>
    <xf numFmtId="9" fontId="2" fillId="0" borderId="0" xfId="3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44" fontId="6" fillId="0" borderId="0" xfId="2" applyFont="1" applyAlignment="1" applyProtection="1">
      <alignment horizontal="center"/>
      <protection locked="0"/>
    </xf>
    <xf numFmtId="10" fontId="2" fillId="0" borderId="0" xfId="3" applyNumberFormat="1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9" fontId="3" fillId="0" borderId="0" xfId="3" applyFont="1" applyProtection="1">
      <protection locked="0"/>
    </xf>
    <xf numFmtId="0" fontId="5" fillId="2" borderId="0" xfId="0" applyFont="1" applyFill="1" applyAlignment="1" applyProtection="1">
      <alignment horizontal="left"/>
      <protection locked="0"/>
    </xf>
    <xf numFmtId="166" fontId="0" fillId="0" borderId="0" xfId="0" applyNumberFormat="1" applyProtection="1">
      <protection locked="0"/>
    </xf>
    <xf numFmtId="0" fontId="5" fillId="2" borderId="0" xfId="0" applyFont="1" applyFill="1" applyProtection="1">
      <protection locked="0"/>
    </xf>
    <xf numFmtId="165" fontId="2" fillId="0" borderId="2" xfId="2" applyNumberFormat="1" applyFont="1" applyBorder="1" applyProtection="1">
      <protection locked="0"/>
    </xf>
    <xf numFmtId="165" fontId="2" fillId="0" borderId="0" xfId="3" applyNumberFormat="1" applyFont="1" applyProtection="1">
      <protection locked="0"/>
    </xf>
    <xf numFmtId="10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44" fontId="2" fillId="0" borderId="0" xfId="3" applyNumberFormat="1" applyFont="1" applyProtection="1">
      <protection locked="0"/>
    </xf>
    <xf numFmtId="44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  <xf numFmtId="167" fontId="0" fillId="0" borderId="0" xfId="0" applyNumberFormat="1" applyProtection="1">
      <protection locked="0"/>
    </xf>
    <xf numFmtId="166" fontId="2" fillId="0" borderId="0" xfId="1" quotePrefix="1" applyNumberFormat="1" applyFont="1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0" fillId="2" borderId="0" xfId="0" applyFill="1" applyProtection="1">
      <protection locked="0"/>
    </xf>
    <xf numFmtId="1" fontId="5" fillId="2" borderId="0" xfId="0" applyNumberFormat="1" applyFont="1" applyFill="1" applyAlignment="1">
      <alignment horizontal="center"/>
    </xf>
    <xf numFmtId="0" fontId="3" fillId="0" borderId="0" xfId="0" applyFont="1" applyProtection="1">
      <protection locked="0"/>
    </xf>
    <xf numFmtId="0" fontId="3" fillId="0" borderId="0" xfId="0" quotePrefix="1" applyFont="1" applyAlignment="1" applyProtection="1">
      <alignment horizontal="left"/>
      <protection locked="0"/>
    </xf>
    <xf numFmtId="1" fontId="7" fillId="0" borderId="0" xfId="0" applyNumberFormat="1" applyFont="1" applyAlignment="1" applyProtection="1">
      <alignment horizontal="center"/>
      <protection locked="0"/>
    </xf>
    <xf numFmtId="169" fontId="2" fillId="0" borderId="0" xfId="2" applyNumberFormat="1" applyFont="1" applyProtection="1">
      <protection locked="0"/>
    </xf>
    <xf numFmtId="43" fontId="8" fillId="0" borderId="0" xfId="1" applyFont="1" applyProtection="1">
      <protection locked="0"/>
    </xf>
    <xf numFmtId="8" fontId="0" fillId="0" borderId="0" xfId="0" applyNumberFormat="1" applyProtection="1">
      <protection locked="0"/>
    </xf>
    <xf numFmtId="8" fontId="2" fillId="0" borderId="0" xfId="3" applyNumberFormat="1" applyFont="1" applyProtection="1">
      <protection locked="0"/>
    </xf>
    <xf numFmtId="6" fontId="0" fillId="0" borderId="0" xfId="0" applyNumberFormat="1" applyProtection="1">
      <protection locked="0"/>
    </xf>
    <xf numFmtId="0" fontId="8" fillId="0" borderId="0" xfId="0" applyFont="1"/>
    <xf numFmtId="10" fontId="0" fillId="0" borderId="0" xfId="0" applyNumberFormat="1"/>
    <xf numFmtId="0" fontId="9" fillId="0" borderId="0" xfId="0" applyFont="1"/>
    <xf numFmtId="9" fontId="0" fillId="0" borderId="0" xfId="0" applyNumberFormat="1"/>
    <xf numFmtId="170" fontId="0" fillId="0" borderId="0" xfId="0" applyNumberFormat="1"/>
    <xf numFmtId="0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01"/>
  <sheetViews>
    <sheetView zoomScale="85" workbookViewId="0">
      <selection activeCell="B15" sqref="B15"/>
    </sheetView>
  </sheetViews>
  <sheetFormatPr defaultColWidth="8.6328125" defaultRowHeight="14.5" x14ac:dyDescent="0.35"/>
  <cols>
    <col min="1" max="1" width="51" style="2" customWidth="1"/>
    <col min="2" max="12" width="16.6328125" style="2" customWidth="1"/>
    <col min="13" max="16384" width="8.6328125" style="2"/>
  </cols>
  <sheetData>
    <row r="1" spans="1:11" ht="18" customHeight="1" x14ac:dyDescent="0.35">
      <c r="A1" s="36" t="s">
        <v>94</v>
      </c>
      <c r="B1" s="8" t="s">
        <v>0</v>
      </c>
      <c r="C1" s="3" t="s">
        <v>1</v>
      </c>
      <c r="D1" s="4" t="s">
        <v>1</v>
      </c>
    </row>
    <row r="2" spans="1:11" ht="18" customHeight="1" x14ac:dyDescent="0.55000000000000004">
      <c r="A2" s="37" t="s">
        <v>2</v>
      </c>
      <c r="B2" s="8" t="s">
        <v>0</v>
      </c>
      <c r="C2" s="3" t="s">
        <v>1</v>
      </c>
      <c r="D2" s="5" t="s">
        <v>1</v>
      </c>
      <c r="E2" s="6" t="s">
        <v>3</v>
      </c>
      <c r="F2" s="7">
        <v>1</v>
      </c>
      <c r="G2" s="6" t="s">
        <v>4</v>
      </c>
    </row>
    <row r="3" spans="1:11" ht="18" customHeight="1" x14ac:dyDescent="0.35">
      <c r="A3" s="8" t="s">
        <v>85</v>
      </c>
      <c r="B3" s="9">
        <v>100000</v>
      </c>
    </row>
    <row r="4" spans="1:11" ht="18" customHeight="1" x14ac:dyDescent="0.35">
      <c r="A4" s="2" t="s">
        <v>5</v>
      </c>
      <c r="B4" s="9">
        <f>'Sensitivity Tests'!B1</f>
        <v>300000</v>
      </c>
      <c r="C4" s="10"/>
    </row>
    <row r="5" spans="1:11" ht="18" customHeight="1" x14ac:dyDescent="0.35">
      <c r="A5" s="36" t="s">
        <v>6</v>
      </c>
      <c r="B5" s="11">
        <f>'Sensitivity Tests'!B46</f>
        <v>4.2999999999999997E-2</v>
      </c>
      <c r="C5" s="11">
        <f>B5</f>
        <v>4.2999999999999997E-2</v>
      </c>
      <c r="D5" s="11">
        <f t="shared" ref="D5:K5" si="0">C5</f>
        <v>4.2999999999999997E-2</v>
      </c>
      <c r="E5" s="11">
        <f t="shared" si="0"/>
        <v>4.2999999999999997E-2</v>
      </c>
      <c r="F5" s="11">
        <f t="shared" si="0"/>
        <v>4.2999999999999997E-2</v>
      </c>
      <c r="G5" s="11">
        <f t="shared" si="0"/>
        <v>4.2999999999999997E-2</v>
      </c>
      <c r="H5" s="11">
        <f t="shared" si="0"/>
        <v>4.2999999999999997E-2</v>
      </c>
      <c r="I5" s="11">
        <f t="shared" si="0"/>
        <v>4.2999999999999997E-2</v>
      </c>
      <c r="J5" s="11">
        <f t="shared" si="0"/>
        <v>4.2999999999999997E-2</v>
      </c>
      <c r="K5" s="11">
        <f t="shared" si="0"/>
        <v>4.2999999999999997E-2</v>
      </c>
    </row>
    <row r="6" spans="1:11" ht="18" customHeight="1" x14ac:dyDescent="0.35"/>
    <row r="7" spans="1:11" ht="18" customHeight="1" x14ac:dyDescent="0.35">
      <c r="A7" s="36" t="s">
        <v>7</v>
      </c>
    </row>
    <row r="8" spans="1:11" ht="18" customHeight="1" x14ac:dyDescent="0.35">
      <c r="A8" s="2" t="s">
        <v>8</v>
      </c>
      <c r="B8" s="12">
        <f>'Sensitivity Tests'!B6</f>
        <v>50</v>
      </c>
    </row>
    <row r="9" spans="1:11" ht="18" customHeight="1" x14ac:dyDescent="0.35">
      <c r="A9" s="2" t="s">
        <v>9</v>
      </c>
      <c r="B9" s="13">
        <f>'Sensitivity Tests'!B11</f>
        <v>0.25</v>
      </c>
      <c r="D9" s="2" t="s">
        <v>1</v>
      </c>
    </row>
    <row r="10" spans="1:11" ht="18" customHeight="1" x14ac:dyDescent="0.35">
      <c r="A10" s="2" t="s">
        <v>10</v>
      </c>
      <c r="B10" s="12">
        <f>'Sensitivity Tests'!B16</f>
        <v>10</v>
      </c>
    </row>
    <row r="11" spans="1:11" ht="18" customHeight="1" x14ac:dyDescent="0.35">
      <c r="A11" s="2" t="s">
        <v>11</v>
      </c>
      <c r="B11" s="13">
        <f>'Sensitivity Tests'!B21</f>
        <v>0.05</v>
      </c>
    </row>
    <row r="12" spans="1:11" ht="18" customHeight="1" x14ac:dyDescent="0.35">
      <c r="A12" s="2" t="s">
        <v>12</v>
      </c>
      <c r="B12" s="14">
        <f>'Sensitivity Tests'!B26</f>
        <v>0.21</v>
      </c>
    </row>
    <row r="13" spans="1:11" ht="18" customHeight="1" x14ac:dyDescent="0.35">
      <c r="A13" s="2" t="s">
        <v>13</v>
      </c>
      <c r="B13" s="15">
        <v>1</v>
      </c>
      <c r="C13" s="15">
        <v>2</v>
      </c>
      <c r="D13" s="15">
        <v>3</v>
      </c>
      <c r="E13" s="15">
        <v>4</v>
      </c>
      <c r="F13" s="15">
        <v>5</v>
      </c>
      <c r="G13" s="15">
        <v>6</v>
      </c>
      <c r="H13" s="15">
        <v>7</v>
      </c>
      <c r="I13" s="15">
        <v>8</v>
      </c>
      <c r="J13" s="15">
        <v>9</v>
      </c>
      <c r="K13" s="15">
        <v>10</v>
      </c>
    </row>
    <row r="14" spans="1:11" ht="18" customHeight="1" x14ac:dyDescent="0.35">
      <c r="A14" s="2" t="s">
        <v>14</v>
      </c>
      <c r="B14" s="16">
        <v>2.4</v>
      </c>
      <c r="C14" s="16">
        <v>2.4</v>
      </c>
      <c r="D14" s="16">
        <v>2.4</v>
      </c>
      <c r="E14" s="16">
        <v>2.4</v>
      </c>
      <c r="F14" s="16">
        <v>2.4</v>
      </c>
      <c r="G14" s="16">
        <v>2.4</v>
      </c>
      <c r="H14" s="16">
        <v>2.4</v>
      </c>
      <c r="I14" s="16">
        <v>2.4</v>
      </c>
      <c r="J14" s="16">
        <v>2.4</v>
      </c>
      <c r="K14" s="16">
        <v>2.4</v>
      </c>
    </row>
    <row r="15" spans="1:11" ht="18" customHeight="1" x14ac:dyDescent="0.35">
      <c r="A15" s="2" t="s">
        <v>15</v>
      </c>
      <c r="B15" s="17">
        <f>'Sensitivity Tests'!B38</f>
        <v>0.2</v>
      </c>
    </row>
    <row r="16" spans="1:11" ht="18" customHeight="1" x14ac:dyDescent="0.35">
      <c r="A16" s="2" t="s">
        <v>16</v>
      </c>
      <c r="C16" s="17">
        <f>'Sensitivity Tests'!B42</f>
        <v>0.1</v>
      </c>
      <c r="D16" s="17">
        <f>C16</f>
        <v>0.1</v>
      </c>
      <c r="E16" s="17">
        <f t="shared" ref="E16:J16" si="1">D16</f>
        <v>0.1</v>
      </c>
      <c r="F16" s="17">
        <f t="shared" si="1"/>
        <v>0.1</v>
      </c>
      <c r="G16" s="17">
        <f>F16</f>
        <v>0.1</v>
      </c>
      <c r="H16" s="17">
        <f t="shared" si="1"/>
        <v>0.1</v>
      </c>
      <c r="I16" s="17">
        <f t="shared" si="1"/>
        <v>0.1</v>
      </c>
      <c r="J16" s="17">
        <f t="shared" si="1"/>
        <v>0.1</v>
      </c>
      <c r="K16" s="17">
        <v>1</v>
      </c>
    </row>
    <row r="17" spans="1:12" ht="18" customHeight="1" x14ac:dyDescent="0.35">
      <c r="A17" s="2" t="s">
        <v>17</v>
      </c>
      <c r="B17" s="17">
        <v>0.7</v>
      </c>
    </row>
    <row r="18" spans="1:12" ht="18" customHeight="1" x14ac:dyDescent="0.35">
      <c r="A18" s="2" t="s">
        <v>18</v>
      </c>
      <c r="C18" s="14">
        <v>0.05</v>
      </c>
      <c r="D18" s="14">
        <f t="shared" ref="D18:K18" si="2">$C$18</f>
        <v>0.05</v>
      </c>
      <c r="E18" s="14">
        <f t="shared" si="2"/>
        <v>0.05</v>
      </c>
      <c r="F18" s="14">
        <f t="shared" si="2"/>
        <v>0.05</v>
      </c>
      <c r="G18" s="14">
        <f t="shared" si="2"/>
        <v>0.05</v>
      </c>
      <c r="H18" s="14">
        <f t="shared" si="2"/>
        <v>0.05</v>
      </c>
      <c r="I18" s="14">
        <f t="shared" si="2"/>
        <v>0.05</v>
      </c>
      <c r="J18" s="14">
        <f t="shared" si="2"/>
        <v>0.05</v>
      </c>
      <c r="K18" s="14">
        <f t="shared" si="2"/>
        <v>0.05</v>
      </c>
    </row>
    <row r="19" spans="1:12" ht="18" customHeight="1" x14ac:dyDescent="0.35">
      <c r="A19" s="2" t="s">
        <v>19</v>
      </c>
      <c r="B19" s="18">
        <v>40</v>
      </c>
      <c r="C19" s="15">
        <f t="shared" ref="C19:K19" si="3">B19+1</f>
        <v>41</v>
      </c>
      <c r="D19" s="15">
        <f t="shared" si="3"/>
        <v>42</v>
      </c>
      <c r="E19" s="15">
        <f t="shared" si="3"/>
        <v>43</v>
      </c>
      <c r="F19" s="15">
        <f t="shared" si="3"/>
        <v>44</v>
      </c>
      <c r="G19" s="15">
        <f t="shared" si="3"/>
        <v>45</v>
      </c>
      <c r="H19" s="15">
        <f t="shared" si="3"/>
        <v>46</v>
      </c>
      <c r="I19" s="15">
        <f t="shared" si="3"/>
        <v>47</v>
      </c>
      <c r="J19" s="15">
        <f t="shared" si="3"/>
        <v>48</v>
      </c>
      <c r="K19" s="15">
        <f t="shared" si="3"/>
        <v>49</v>
      </c>
    </row>
    <row r="20" spans="1:12" ht="18" customHeight="1" x14ac:dyDescent="0.35">
      <c r="A20" s="2" t="s">
        <v>20</v>
      </c>
      <c r="B20" s="2">
        <f>$B$100*B101</f>
        <v>7.9721999999999996E-4</v>
      </c>
      <c r="C20" s="2">
        <f t="shared" ref="C20:K20" si="4">$B$100*C101</f>
        <v>9.8262000000000002E-4</v>
      </c>
      <c r="D20" s="2">
        <f t="shared" si="4"/>
        <v>1.2051E-3</v>
      </c>
      <c r="E20" s="2">
        <f t="shared" si="4"/>
        <v>1.46466E-3</v>
      </c>
      <c r="F20" s="2">
        <f t="shared" si="4"/>
        <v>1.7520299999999999E-3</v>
      </c>
      <c r="G20" s="2">
        <f t="shared" si="4"/>
        <v>2.0857499999999999E-3</v>
      </c>
      <c r="H20" s="2">
        <f t="shared" si="4"/>
        <v>2.4565500000000001E-3</v>
      </c>
      <c r="I20" s="2">
        <f t="shared" si="4"/>
        <v>2.8644299999999998E-3</v>
      </c>
      <c r="J20" s="2">
        <f t="shared" si="4"/>
        <v>3.3186600000000002E-3</v>
      </c>
      <c r="K20" s="2">
        <f t="shared" si="4"/>
        <v>3.8007000000000002E-3</v>
      </c>
    </row>
    <row r="21" spans="1:12" ht="18" customHeight="1" x14ac:dyDescent="0.35">
      <c r="A21" s="2" t="s">
        <v>21</v>
      </c>
      <c r="B21" s="19">
        <v>0.25</v>
      </c>
    </row>
    <row r="22" spans="1:12" ht="18" customHeight="1" x14ac:dyDescent="0.35">
      <c r="A22" s="2" t="s">
        <v>22</v>
      </c>
    </row>
    <row r="23" spans="1:12" ht="18" customHeight="1" x14ac:dyDescent="0.35">
      <c r="A23" s="2" t="s">
        <v>23</v>
      </c>
      <c r="B23" s="2" t="s">
        <v>24</v>
      </c>
    </row>
    <row r="24" spans="1:12" ht="18" customHeight="1" x14ac:dyDescent="0.35">
      <c r="B24" s="2" t="s">
        <v>25</v>
      </c>
    </row>
    <row r="25" spans="1:12" ht="18" customHeight="1" x14ac:dyDescent="0.55000000000000004">
      <c r="E25" s="6" t="s">
        <v>3</v>
      </c>
      <c r="F25" s="35">
        <v>2</v>
      </c>
      <c r="G25" s="20" t="s">
        <v>26</v>
      </c>
      <c r="H25" s="20"/>
      <c r="I25" s="8" t="s">
        <v>1</v>
      </c>
      <c r="J25" s="8" t="s">
        <v>0</v>
      </c>
    </row>
    <row r="26" spans="1:12" ht="18" customHeight="1" x14ac:dyDescent="0.35">
      <c r="A26" s="2" t="s">
        <v>27</v>
      </c>
      <c r="B26" s="15">
        <v>1</v>
      </c>
      <c r="C26" s="15">
        <v>2</v>
      </c>
      <c r="D26" s="15">
        <v>3</v>
      </c>
      <c r="E26" s="15">
        <v>4</v>
      </c>
      <c r="F26" s="15">
        <v>5</v>
      </c>
      <c r="G26" s="15">
        <v>6</v>
      </c>
      <c r="H26" s="15">
        <v>7</v>
      </c>
      <c r="I26" s="15">
        <v>8</v>
      </c>
      <c r="J26" s="15">
        <v>9</v>
      </c>
      <c r="K26" s="15">
        <v>10</v>
      </c>
      <c r="L26" s="15">
        <v>11</v>
      </c>
    </row>
    <row r="27" spans="1:12" ht="18" customHeight="1" x14ac:dyDescent="0.35">
      <c r="A27" s="2" t="s">
        <v>28</v>
      </c>
      <c r="B27" s="21">
        <f>B3</f>
        <v>100000</v>
      </c>
      <c r="C27" s="21">
        <f>B27*(1-B20)*(1-B15)</f>
        <v>79936.222399999999</v>
      </c>
      <c r="D27" s="21">
        <f>C27*(1-C20)*(1-C16)</f>
        <v>71871.907922230777</v>
      </c>
      <c r="E27" s="21">
        <f>D27*(1-D16)*(1-D20)</f>
        <v>64606.765577394333</v>
      </c>
      <c r="F27" s="21">
        <f t="shared" ref="F27:K27" si="5">E27*(1-E20)*(1-E16)</f>
        <v>58060.924768911369</v>
      </c>
      <c r="G27" s="21">
        <f t="shared" si="5"/>
        <v>52163.280258199644</v>
      </c>
      <c r="H27" s="21">
        <f t="shared" si="5"/>
        <v>46849.032626761</v>
      </c>
      <c r="I27" s="21">
        <f t="shared" si="5"/>
        <v>42060.551072095557</v>
      </c>
      <c r="J27" s="21">
        <f t="shared" si="5"/>
        <v>37746.064411009305</v>
      </c>
      <c r="K27" s="21">
        <f t="shared" si="5"/>
        <v>33858.718251201957</v>
      </c>
      <c r="L27" s="21" t="s">
        <v>1</v>
      </c>
    </row>
    <row r="28" spans="1:12" ht="18" customHeight="1" x14ac:dyDescent="0.35">
      <c r="A28" s="2" t="s">
        <v>29</v>
      </c>
      <c r="B28" s="12">
        <f>B27*B4</f>
        <v>30000000000</v>
      </c>
      <c r="C28" s="12">
        <f>C27*B4</f>
        <v>23980866720</v>
      </c>
      <c r="D28" s="12">
        <f>D27*B4</f>
        <v>21561572376.669231</v>
      </c>
      <c r="E28" s="12">
        <f>E27*B4</f>
        <v>19382029673.2183</v>
      </c>
      <c r="F28" s="12">
        <f>F27*B4</f>
        <v>17418277430.673412</v>
      </c>
      <c r="G28" s="12">
        <f>G27*B4</f>
        <v>15648984077.459892</v>
      </c>
      <c r="H28" s="12">
        <f>H27*B4</f>
        <v>14054709788.028299</v>
      </c>
      <c r="I28" s="12">
        <f>I27*B4</f>
        <v>12618165321.628668</v>
      </c>
      <c r="J28" s="12">
        <f>J27*B4</f>
        <v>11323819323.302792</v>
      </c>
      <c r="K28" s="12">
        <f>K27*B4</f>
        <v>10157615475.360588</v>
      </c>
      <c r="L28" s="12" t="s">
        <v>1</v>
      </c>
    </row>
    <row r="29" spans="1:12" ht="18" customHeight="1" x14ac:dyDescent="0.35"/>
    <row r="30" spans="1:12" ht="18" customHeight="1" x14ac:dyDescent="0.55000000000000004">
      <c r="A30" s="2" t="s">
        <v>30</v>
      </c>
      <c r="E30" s="6" t="s">
        <v>3</v>
      </c>
      <c r="F30" s="35">
        <v>2.9677720000000001</v>
      </c>
      <c r="G30" s="22" t="s">
        <v>31</v>
      </c>
      <c r="H30" s="34"/>
    </row>
    <row r="31" spans="1:12" ht="18" customHeight="1" x14ac:dyDescent="0.35">
      <c r="A31" s="15" t="s">
        <v>13</v>
      </c>
      <c r="B31" s="15">
        <v>1</v>
      </c>
      <c r="C31" s="15">
        <v>2</v>
      </c>
      <c r="D31" s="15">
        <v>3</v>
      </c>
      <c r="E31" s="15">
        <v>4</v>
      </c>
      <c r="F31" s="15">
        <v>5</v>
      </c>
      <c r="G31" s="15">
        <v>6</v>
      </c>
      <c r="H31" s="15">
        <v>7</v>
      </c>
      <c r="I31" s="15">
        <v>8</v>
      </c>
      <c r="J31" s="15">
        <v>9</v>
      </c>
      <c r="K31" s="15">
        <v>10</v>
      </c>
      <c r="L31" s="15">
        <v>11</v>
      </c>
    </row>
    <row r="32" spans="1:12" ht="18" customHeight="1" x14ac:dyDescent="0.35">
      <c r="A32" s="2" t="s">
        <v>32</v>
      </c>
      <c r="B32" s="21">
        <f>B27*(B4/1000)*B14</f>
        <v>72000000</v>
      </c>
      <c r="C32" s="21">
        <f>C27*(B4/1000)*C14</f>
        <v>57554080.127999999</v>
      </c>
      <c r="D32" s="21">
        <f>D27*(B4/1000)*D14</f>
        <v>51747773.704006158</v>
      </c>
      <c r="E32" s="21">
        <f>E27*(B4/1000)*E14</f>
        <v>46516871.215723917</v>
      </c>
      <c r="F32" s="21">
        <f>F27*(B4/1000)*F14</f>
        <v>41803865.833616182</v>
      </c>
      <c r="G32" s="21">
        <f>G27*(B4/1000)*G14</f>
        <v>37557561.785903737</v>
      </c>
      <c r="H32" s="21">
        <f>H27*(B4/1000)*H14</f>
        <v>33731303.49126792</v>
      </c>
      <c r="I32" s="21">
        <f>I27*(B4/1000)*I14</f>
        <v>30283596.771908801</v>
      </c>
      <c r="J32" s="21">
        <f>J27*(B4/1000)*J14</f>
        <v>27177166.375926699</v>
      </c>
      <c r="K32" s="21">
        <f>K27*(B4/1000)*K14</f>
        <v>24378277.140865408</v>
      </c>
      <c r="L32" s="21" t="s">
        <v>1</v>
      </c>
    </row>
    <row r="33" spans="1:23" ht="18" customHeight="1" x14ac:dyDescent="0.35">
      <c r="A33" s="2" t="s">
        <v>33</v>
      </c>
      <c r="B33" s="12">
        <f>(B32-B38-B40)*B5-(B36+B39)*(B5/2)</f>
        <v>-176656.89999999997</v>
      </c>
      <c r="C33" s="39">
        <f>((B87+C32-C40)*B5)-((C36+C39)*(B5/2))</f>
        <v>2436384.2244883259</v>
      </c>
      <c r="D33" s="39">
        <f t="shared" ref="D33:K33" si="6">((C87+D32-D40)*C5)-((D36+D39)*(C5/2))</f>
        <v>3207864.8721875795</v>
      </c>
      <c r="E33" s="39">
        <f t="shared" si="6"/>
        <v>3611255.7609194852</v>
      </c>
      <c r="F33" s="39">
        <f t="shared" si="6"/>
        <v>3700063.7638846557</v>
      </c>
      <c r="G33" s="39">
        <f t="shared" si="6"/>
        <v>3521917.1270056777</v>
      </c>
      <c r="H33" s="39">
        <f t="shared" si="6"/>
        <v>3118037.9405068993</v>
      </c>
      <c r="I33" s="39">
        <f t="shared" si="6"/>
        <v>2530834.2064947821</v>
      </c>
      <c r="J33" s="39">
        <f t="shared" si="6"/>
        <v>1796994.9633192807</v>
      </c>
      <c r="K33" s="39">
        <f t="shared" si="6"/>
        <v>952150.47932297376</v>
      </c>
      <c r="L33" s="12" t="s">
        <v>1</v>
      </c>
    </row>
    <row r="34" spans="1:23" ht="18" customHeight="1" x14ac:dyDescent="0.35">
      <c r="A34" s="2" t="s">
        <v>34</v>
      </c>
      <c r="B34" s="21">
        <f>B32+B33</f>
        <v>71823343.099999994</v>
      </c>
      <c r="C34" s="21">
        <f>C32+C33</f>
        <v>59990464.352488324</v>
      </c>
      <c r="D34" s="21">
        <f t="shared" ref="D34:K34" si="7">D32+D33</f>
        <v>54955638.576193735</v>
      </c>
      <c r="E34" s="21">
        <f t="shared" si="7"/>
        <v>50128126.976643398</v>
      </c>
      <c r="F34" s="21">
        <f t="shared" si="7"/>
        <v>45503929.597500838</v>
      </c>
      <c r="G34" s="21">
        <f t="shared" si="7"/>
        <v>41079478.912909418</v>
      </c>
      <c r="H34" s="21">
        <f t="shared" si="7"/>
        <v>36849341.431774817</v>
      </c>
      <c r="I34" s="21">
        <f t="shared" si="7"/>
        <v>32814430.978403583</v>
      </c>
      <c r="J34" s="21">
        <f t="shared" si="7"/>
        <v>28974161.339245979</v>
      </c>
      <c r="K34" s="21">
        <f t="shared" si="7"/>
        <v>25330427.620188382</v>
      </c>
      <c r="L34" s="12" t="s">
        <v>1</v>
      </c>
      <c r="M34" s="12" t="s">
        <v>1</v>
      </c>
      <c r="N34" s="12" t="s">
        <v>1</v>
      </c>
      <c r="O34" s="12" t="s">
        <v>1</v>
      </c>
      <c r="P34" s="12" t="s">
        <v>1</v>
      </c>
      <c r="Q34" s="12" t="s">
        <v>1</v>
      </c>
    </row>
    <row r="35" spans="1:23" ht="18" customHeight="1" x14ac:dyDescent="0.35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23" ht="18" customHeight="1" x14ac:dyDescent="0.35">
      <c r="A36" s="2" t="s">
        <v>35</v>
      </c>
      <c r="B36" s="12">
        <f t="shared" ref="B36:K36" si="8">B28*B20</f>
        <v>23916600</v>
      </c>
      <c r="C36" s="12">
        <f t="shared" si="8"/>
        <v>23564079.2564064</v>
      </c>
      <c r="D36" s="12">
        <f t="shared" si="8"/>
        <v>25983850.871124089</v>
      </c>
      <c r="E36" s="12">
        <f t="shared" si="8"/>
        <v>28388083.581175916</v>
      </c>
      <c r="F36" s="12">
        <f t="shared" si="8"/>
        <v>30517344.606862739</v>
      </c>
      <c r="G36" s="12">
        <f t="shared" si="8"/>
        <v>32639868.539561968</v>
      </c>
      <c r="H36" s="12">
        <f t="shared" si="8"/>
        <v>34526097.329780921</v>
      </c>
      <c r="I36" s="12">
        <f t="shared" si="8"/>
        <v>36143851.292232804</v>
      </c>
      <c r="J36" s="12">
        <f t="shared" si="8"/>
        <v>37579906.235472046</v>
      </c>
      <c r="K36" s="12">
        <f t="shared" si="8"/>
        <v>38606049.137202986</v>
      </c>
      <c r="L36" s="12" t="s">
        <v>1</v>
      </c>
      <c r="M36" s="12" t="s">
        <v>1</v>
      </c>
      <c r="N36" s="12" t="s">
        <v>1</v>
      </c>
      <c r="O36" s="12" t="s">
        <v>1</v>
      </c>
      <c r="P36" s="12" t="s">
        <v>1</v>
      </c>
      <c r="Q36" s="12" t="s">
        <v>1</v>
      </c>
    </row>
    <row r="37" spans="1:23" ht="18" customHeight="1" x14ac:dyDescent="0.35">
      <c r="A37" s="2" t="s">
        <v>36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23" ht="18" customHeight="1" x14ac:dyDescent="0.35">
      <c r="A38" s="8" t="s">
        <v>37</v>
      </c>
      <c r="B38" s="2">
        <f>(B3*B8)+(B28/1000)*B9</f>
        <v>12500000</v>
      </c>
      <c r="C38" s="12"/>
      <c r="D38" s="12" t="s">
        <v>1</v>
      </c>
      <c r="E38" s="12" t="s">
        <v>1</v>
      </c>
      <c r="F38" s="12" t="s">
        <v>1</v>
      </c>
      <c r="G38" s="12" t="s">
        <v>1</v>
      </c>
      <c r="H38" s="12" t="s">
        <v>1</v>
      </c>
      <c r="I38" s="12" t="s">
        <v>1</v>
      </c>
      <c r="J38" s="12" t="s">
        <v>1</v>
      </c>
      <c r="K38" s="12" t="s">
        <v>1</v>
      </c>
      <c r="L38" s="12" t="s">
        <v>1</v>
      </c>
      <c r="M38" s="12" t="s">
        <v>1</v>
      </c>
      <c r="N38" s="12" t="s">
        <v>1</v>
      </c>
      <c r="O38" s="12" t="s">
        <v>1</v>
      </c>
      <c r="P38" s="12" t="s">
        <v>1</v>
      </c>
      <c r="Q38" s="12" t="s">
        <v>1</v>
      </c>
    </row>
    <row r="39" spans="1:23" ht="18" customHeight="1" x14ac:dyDescent="0.35">
      <c r="A39" s="8" t="s">
        <v>38</v>
      </c>
      <c r="B39" s="12">
        <f>(B3*B10)+(B76/1000)*B11</f>
        <v>2500000</v>
      </c>
      <c r="C39" s="12">
        <f>(C27*B10)+(C28/1000)*B11</f>
        <v>1998405.5599999998</v>
      </c>
      <c r="D39" s="12">
        <f>(D27*B10)+(D28/1000)*B11</f>
        <v>1796797.6980557693</v>
      </c>
      <c r="E39" s="12">
        <f>(E27*B10)+(E28/1000)*B11</f>
        <v>1615169.1394348582</v>
      </c>
      <c r="F39" s="12">
        <f>(F27*B10)+(F28/1000)*B11</f>
        <v>1451523.1192227844</v>
      </c>
      <c r="G39" s="12">
        <f>(G27*B10)+(G28/1000)*B11</f>
        <v>1304082.0064549912</v>
      </c>
      <c r="H39" s="12">
        <f>(H27*B10)+(H28/1000)*B11</f>
        <v>1171225.8156690251</v>
      </c>
      <c r="I39" s="12">
        <f>(I27*B10)+(I28/1000)*B11</f>
        <v>1051513.776802389</v>
      </c>
      <c r="J39" s="12">
        <f>(J27*B10)+(J28/1000)*B11</f>
        <v>943651.6102752327</v>
      </c>
      <c r="K39" s="12">
        <f>(K27*B10)+(K28/1000)*B11</f>
        <v>846467.95628004894</v>
      </c>
      <c r="L39" s="12" t="s">
        <v>1</v>
      </c>
      <c r="M39" s="12" t="s">
        <v>1</v>
      </c>
      <c r="N39" s="12" t="s">
        <v>1</v>
      </c>
      <c r="O39" s="12" t="s">
        <v>1</v>
      </c>
      <c r="P39" s="12" t="s">
        <v>1</v>
      </c>
      <c r="Q39" s="12" t="s">
        <v>1</v>
      </c>
    </row>
    <row r="40" spans="1:23" ht="18" customHeight="1" x14ac:dyDescent="0.35">
      <c r="A40" s="8" t="s">
        <v>39</v>
      </c>
      <c r="B40" s="12">
        <f>B32*B17</f>
        <v>50400000</v>
      </c>
      <c r="C40" s="12">
        <f t="shared" ref="C40:K40" si="9">C32*C18</f>
        <v>2877704.0064000003</v>
      </c>
      <c r="D40" s="12">
        <f t="shared" si="9"/>
        <v>2587388.685200308</v>
      </c>
      <c r="E40" s="12">
        <f t="shared" si="9"/>
        <v>2325843.560786196</v>
      </c>
      <c r="F40" s="12">
        <f t="shared" si="9"/>
        <v>2090193.2916808091</v>
      </c>
      <c r="G40" s="12">
        <f t="shared" si="9"/>
        <v>1877878.089295187</v>
      </c>
      <c r="H40" s="12">
        <f t="shared" si="9"/>
        <v>1686565.174563396</v>
      </c>
      <c r="I40" s="12">
        <f t="shared" si="9"/>
        <v>1514179.8385954401</v>
      </c>
      <c r="J40" s="12">
        <f t="shared" si="9"/>
        <v>1358858.318796335</v>
      </c>
      <c r="K40" s="12">
        <f t="shared" si="9"/>
        <v>1218913.8570432705</v>
      </c>
      <c r="L40" s="12" t="s">
        <v>1</v>
      </c>
      <c r="M40" s="12" t="s">
        <v>1</v>
      </c>
      <c r="N40" s="12" t="s">
        <v>1</v>
      </c>
      <c r="O40" s="12" t="s">
        <v>1</v>
      </c>
      <c r="P40" s="12" t="s">
        <v>1</v>
      </c>
      <c r="Q40" s="12" t="s">
        <v>1</v>
      </c>
    </row>
    <row r="41" spans="1:23" ht="18" customHeight="1" x14ac:dyDescent="0.35">
      <c r="A41" s="2" t="s">
        <v>40</v>
      </c>
      <c r="B41" s="23">
        <f>B88</f>
        <v>14764964.530517766</v>
      </c>
      <c r="C41" s="23">
        <f t="shared" ref="C41:K41" si="10">C88</f>
        <v>24566483.390791416</v>
      </c>
      <c r="D41" s="23">
        <f t="shared" si="10"/>
        <v>15461842.898465134</v>
      </c>
      <c r="E41" s="23">
        <f t="shared" si="10"/>
        <v>7525465.0102785602</v>
      </c>
      <c r="F41" s="23">
        <f t="shared" si="10"/>
        <v>878585.21159538627</v>
      </c>
      <c r="G41" s="23">
        <f t="shared" si="10"/>
        <v>-4880907.5412813202</v>
      </c>
      <c r="H41" s="23">
        <f t="shared" si="10"/>
        <v>-9631558.4457956776</v>
      </c>
      <c r="I41" s="23">
        <f t="shared" si="10"/>
        <v>-13450823.646519132</v>
      </c>
      <c r="J41" s="23">
        <f t="shared" si="10"/>
        <v>-16524121.742272891</v>
      </c>
      <c r="K41" s="23">
        <f t="shared" si="10"/>
        <v>-18709929.66577924</v>
      </c>
      <c r="L41" s="23" t="s">
        <v>1</v>
      </c>
      <c r="M41" s="23" t="s">
        <v>1</v>
      </c>
      <c r="N41" s="23" t="s">
        <v>1</v>
      </c>
      <c r="O41" s="23" t="s">
        <v>1</v>
      </c>
      <c r="P41" s="23" t="s">
        <v>1</v>
      </c>
      <c r="Q41" s="23" t="s">
        <v>1</v>
      </c>
      <c r="R41" s="23" t="s">
        <v>1</v>
      </c>
      <c r="S41" s="23" t="s">
        <v>1</v>
      </c>
      <c r="T41" s="23" t="s">
        <v>1</v>
      </c>
      <c r="U41" s="23" t="s">
        <v>1</v>
      </c>
      <c r="V41" s="23" t="s">
        <v>1</v>
      </c>
      <c r="W41" s="23" t="s">
        <v>1</v>
      </c>
    </row>
    <row r="42" spans="1:23" ht="18" customHeight="1" x14ac:dyDescent="0.35">
      <c r="A42" s="2" t="s">
        <v>41</v>
      </c>
      <c r="B42" s="12">
        <f>B36+B38+B39+B40+B41</f>
        <v>104081564.53051777</v>
      </c>
      <c r="C42" s="12">
        <f t="shared" ref="C42" si="11">C36+C38+C39+C40+C41</f>
        <v>53006672.213597819</v>
      </c>
      <c r="D42" s="12">
        <f>D36+D39+D40+D41</f>
        <v>45829880.152845301</v>
      </c>
      <c r="E42" s="12">
        <f t="shared" ref="E42:K42" si="12">E36+E39+E40+E41</f>
        <v>39854561.29167553</v>
      </c>
      <c r="F42" s="12">
        <f t="shared" si="12"/>
        <v>34937646.229361713</v>
      </c>
      <c r="G42" s="12">
        <f t="shared" si="12"/>
        <v>30940921.094030827</v>
      </c>
      <c r="H42" s="12">
        <f t="shared" si="12"/>
        <v>27752329.874217659</v>
      </c>
      <c r="I42" s="12">
        <f t="shared" si="12"/>
        <v>25258721.261111505</v>
      </c>
      <c r="J42" s="12">
        <f t="shared" si="12"/>
        <v>23358294.422270723</v>
      </c>
      <c r="K42" s="12">
        <f t="shared" si="12"/>
        <v>21961501.284747064</v>
      </c>
      <c r="L42" s="12">
        <v>0</v>
      </c>
      <c r="M42" s="12" t="s">
        <v>1</v>
      </c>
      <c r="N42" s="12" t="s">
        <v>1</v>
      </c>
    </row>
    <row r="43" spans="1:23" ht="18" customHeight="1" x14ac:dyDescent="0.35"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23" ht="18" customHeight="1" x14ac:dyDescent="0.35">
      <c r="A44" s="2" t="s">
        <v>42</v>
      </c>
      <c r="B44" s="12">
        <f>B32+B33-B42</f>
        <v>-32258221.430517778</v>
      </c>
      <c r="C44" s="12">
        <f t="shared" ref="C44:K44" si="13">C32+C33-C42</f>
        <v>6983792.1388905048</v>
      </c>
      <c r="D44" s="12">
        <f t="shared" si="13"/>
        <v>9125758.4233484343</v>
      </c>
      <c r="E44" s="12">
        <f t="shared" si="13"/>
        <v>10273565.684967868</v>
      </c>
      <c r="F44" s="12">
        <f t="shared" si="13"/>
        <v>10566283.368139125</v>
      </c>
      <c r="G44" s="12">
        <f t="shared" si="13"/>
        <v>10138557.818878591</v>
      </c>
      <c r="H44" s="12">
        <f t="shared" si="13"/>
        <v>9097011.5575571582</v>
      </c>
      <c r="I44" s="12">
        <f t="shared" si="13"/>
        <v>7555709.7172920778</v>
      </c>
      <c r="J44" s="12">
        <f t="shared" si="13"/>
        <v>5615866.9169752561</v>
      </c>
      <c r="K44" s="12">
        <f t="shared" si="13"/>
        <v>3368926.3354413174</v>
      </c>
      <c r="L44" s="12">
        <v>0</v>
      </c>
      <c r="M44" s="12" t="s">
        <v>1</v>
      </c>
    </row>
    <row r="45" spans="1:23" ht="18" customHeight="1" x14ac:dyDescent="0.35">
      <c r="A45" s="2" t="s">
        <v>43</v>
      </c>
      <c r="B45" s="23">
        <f>B12*B44</f>
        <v>-6774226.5004087333</v>
      </c>
      <c r="C45" s="23">
        <f>B12*C44</f>
        <v>1466596.3491670059</v>
      </c>
      <c r="D45" s="23">
        <f>B12*D44</f>
        <v>1916409.2689031712</v>
      </c>
      <c r="E45" s="23">
        <f>B12*E44</f>
        <v>2157448.7938432521</v>
      </c>
      <c r="F45" s="23">
        <f>B12*F44</f>
        <v>2218919.5073092161</v>
      </c>
      <c r="G45" s="23">
        <f>B12*G44</f>
        <v>2129097.141964504</v>
      </c>
      <c r="H45" s="23">
        <f>B12*H44</f>
        <v>1910372.4270870031</v>
      </c>
      <c r="I45" s="23">
        <f>B12*I44</f>
        <v>1586699.0406313364</v>
      </c>
      <c r="J45" s="23">
        <f>B12*J44</f>
        <v>1179332.0525648037</v>
      </c>
      <c r="K45" s="23">
        <f>B12*K44</f>
        <v>707474.53044267662</v>
      </c>
      <c r="L45" s="23">
        <v>0</v>
      </c>
      <c r="M45" s="23" t="s">
        <v>1</v>
      </c>
    </row>
    <row r="46" spans="1:23" ht="18" customHeight="1" x14ac:dyDescent="0.35">
      <c r="A46" s="2" t="s">
        <v>44</v>
      </c>
      <c r="B46" s="12">
        <f>B44-B45</f>
        <v>-25483994.930109046</v>
      </c>
      <c r="C46" s="12">
        <f t="shared" ref="C46:K46" si="14">C44-C45</f>
        <v>5517195.7897234987</v>
      </c>
      <c r="D46" s="12">
        <f t="shared" si="14"/>
        <v>7209349.1544452626</v>
      </c>
      <c r="E46" s="12">
        <f t="shared" si="14"/>
        <v>8116116.8911246154</v>
      </c>
      <c r="F46" s="12">
        <f t="shared" si="14"/>
        <v>8347363.8608299093</v>
      </c>
      <c r="G46" s="12">
        <f t="shared" si="14"/>
        <v>8009460.6769140866</v>
      </c>
      <c r="H46" s="12">
        <f t="shared" si="14"/>
        <v>7186639.1304701548</v>
      </c>
      <c r="I46" s="12">
        <f t="shared" si="14"/>
        <v>5969010.6766607417</v>
      </c>
      <c r="J46" s="12">
        <f t="shared" si="14"/>
        <v>4436534.8644104525</v>
      </c>
      <c r="K46" s="12">
        <f t="shared" si="14"/>
        <v>2661451.8049986409</v>
      </c>
      <c r="L46" s="12">
        <v>0</v>
      </c>
      <c r="M46" s="12" t="s">
        <v>1</v>
      </c>
    </row>
    <row r="47" spans="1:23" ht="18" customHeight="1" x14ac:dyDescent="0.35">
      <c r="A47" s="2" t="s">
        <v>1</v>
      </c>
      <c r="B47" s="2" t="s">
        <v>1</v>
      </c>
      <c r="C47" s="2" t="s">
        <v>1</v>
      </c>
      <c r="D47" s="2" t="s">
        <v>1</v>
      </c>
      <c r="E47" s="2" t="s">
        <v>1</v>
      </c>
      <c r="F47" s="2" t="s">
        <v>1</v>
      </c>
      <c r="G47" s="2" t="s">
        <v>1</v>
      </c>
      <c r="H47" s="2" t="s">
        <v>1</v>
      </c>
      <c r="I47" s="2" t="s">
        <v>1</v>
      </c>
      <c r="J47" s="2" t="s">
        <v>1</v>
      </c>
      <c r="K47" s="2" t="s">
        <v>1</v>
      </c>
      <c r="L47" s="2" t="s">
        <v>1</v>
      </c>
    </row>
    <row r="48" spans="1:23" ht="18" customHeight="1" x14ac:dyDescent="0.35">
      <c r="A48" s="2" t="s">
        <v>92</v>
      </c>
      <c r="B48" s="14">
        <v>0.13</v>
      </c>
      <c r="C48" s="12"/>
      <c r="D48" s="12"/>
      <c r="E48" s="12"/>
      <c r="F48" s="12"/>
      <c r="G48" s="12"/>
      <c r="H48" s="12"/>
      <c r="I48" s="12"/>
      <c r="J48" s="12"/>
      <c r="K48" s="12"/>
    </row>
    <row r="49" spans="1:22" ht="18" customHeight="1" x14ac:dyDescent="0.35">
      <c r="A49" s="2" t="s">
        <v>45</v>
      </c>
      <c r="B49" s="24">
        <f>NPV($B$48, B46:L46)</f>
        <v>7681427.3469051979</v>
      </c>
      <c r="C49" s="12"/>
      <c r="D49" s="12"/>
      <c r="E49" s="12"/>
      <c r="F49" s="12"/>
      <c r="G49" s="12"/>
      <c r="H49" s="12"/>
      <c r="I49" s="12"/>
      <c r="J49" s="12"/>
      <c r="K49" s="12"/>
    </row>
    <row r="50" spans="1:22" ht="18" customHeight="1" x14ac:dyDescent="0.35">
      <c r="A50" s="8" t="s">
        <v>46</v>
      </c>
      <c r="B50" s="25">
        <f>IRR(B46:L46, $B$48)</f>
        <v>0.22126017322877445</v>
      </c>
    </row>
    <row r="51" spans="1:22" ht="18" customHeight="1" x14ac:dyDescent="0.35">
      <c r="B51" s="26"/>
    </row>
    <row r="52" spans="1:22" ht="18" customHeight="1" x14ac:dyDescent="0.35">
      <c r="A52" s="2" t="s">
        <v>47</v>
      </c>
      <c r="B52" s="33">
        <v>1</v>
      </c>
      <c r="C52" s="33">
        <v>2</v>
      </c>
      <c r="D52" s="33">
        <v>3</v>
      </c>
      <c r="E52" s="33">
        <v>4</v>
      </c>
      <c r="F52" s="33">
        <v>5</v>
      </c>
      <c r="G52" s="33">
        <v>6</v>
      </c>
      <c r="H52" s="33">
        <v>7</v>
      </c>
      <c r="I52" s="33">
        <v>8</v>
      </c>
      <c r="J52" s="33">
        <v>9</v>
      </c>
      <c r="K52" s="33">
        <v>10</v>
      </c>
      <c r="L52" s="33">
        <v>11</v>
      </c>
    </row>
    <row r="53" spans="1:22" ht="18" customHeight="1" x14ac:dyDescent="0.35">
      <c r="A53" s="2" t="s">
        <v>48</v>
      </c>
      <c r="B53" s="12">
        <f>B93</f>
        <v>203111.7255</v>
      </c>
      <c r="C53" s="12">
        <f t="shared" ref="C53:K53" si="15">C93</f>
        <v>200117.94308503135</v>
      </c>
      <c r="D53" s="12">
        <f t="shared" si="15"/>
        <v>220667.85352302133</v>
      </c>
      <c r="E53" s="12">
        <f t="shared" si="15"/>
        <v>241085.79981313646</v>
      </c>
      <c r="F53" s="12">
        <f t="shared" si="15"/>
        <v>259168.54907378179</v>
      </c>
      <c r="G53" s="12">
        <f t="shared" si="15"/>
        <v>277194.08357223001</v>
      </c>
      <c r="H53" s="12">
        <f t="shared" si="15"/>
        <v>293212.88157316449</v>
      </c>
      <c r="I53" s="12">
        <f t="shared" si="15"/>
        <v>306951.65709928708</v>
      </c>
      <c r="J53" s="12">
        <f t="shared" si="15"/>
        <v>319147.35370474635</v>
      </c>
      <c r="K53" s="12">
        <f t="shared" si="15"/>
        <v>327861.87229769636</v>
      </c>
      <c r="L53" s="12">
        <v>0</v>
      </c>
      <c r="M53" s="12" t="s">
        <v>1</v>
      </c>
      <c r="N53" s="12" t="s">
        <v>1</v>
      </c>
      <c r="O53" s="12" t="s">
        <v>1</v>
      </c>
      <c r="P53" s="12" t="s">
        <v>1</v>
      </c>
      <c r="Q53" s="12" t="s">
        <v>1</v>
      </c>
      <c r="R53" s="12" t="s">
        <v>1</v>
      </c>
      <c r="S53" s="12" t="s">
        <v>1</v>
      </c>
      <c r="T53" s="12" t="s">
        <v>1</v>
      </c>
      <c r="U53" s="12" t="s">
        <v>1</v>
      </c>
      <c r="V53" s="12" t="s">
        <v>1</v>
      </c>
    </row>
    <row r="54" spans="1:22" ht="18" customHeight="1" x14ac:dyDescent="0.35">
      <c r="A54" s="2" t="s">
        <v>49</v>
      </c>
      <c r="B54" s="23">
        <f>B92</f>
        <v>5979150</v>
      </c>
      <c r="C54" s="23">
        <f t="shared" ref="C54:K54" si="16">C92</f>
        <v>-88130.185898399912</v>
      </c>
      <c r="D54" s="23">
        <f t="shared" si="16"/>
        <v>604942.9036794221</v>
      </c>
      <c r="E54" s="23">
        <f t="shared" si="16"/>
        <v>601058.17751295678</v>
      </c>
      <c r="F54" s="23">
        <f t="shared" si="16"/>
        <v>532315.25642170571</v>
      </c>
      <c r="G54" s="23">
        <f t="shared" si="16"/>
        <v>530630.98317480739</v>
      </c>
      <c r="H54" s="23">
        <f t="shared" si="16"/>
        <v>471557.19755473826</v>
      </c>
      <c r="I54" s="23">
        <f t="shared" si="16"/>
        <v>404438.49061297067</v>
      </c>
      <c r="J54" s="23">
        <f t="shared" si="16"/>
        <v>359013.73580981046</v>
      </c>
      <c r="K54" s="23">
        <f t="shared" si="16"/>
        <v>256535.72543273494</v>
      </c>
      <c r="L54" s="23">
        <f>L92</f>
        <v>-9651512.2843007464</v>
      </c>
      <c r="M54" s="23" t="s">
        <v>1</v>
      </c>
      <c r="N54" s="23" t="s">
        <v>1</v>
      </c>
      <c r="O54" s="23" t="s">
        <v>1</v>
      </c>
      <c r="P54" s="23" t="s">
        <v>1</v>
      </c>
      <c r="Q54" s="23" t="s">
        <v>1</v>
      </c>
      <c r="R54" s="23" t="s">
        <v>1</v>
      </c>
      <c r="S54" s="23" t="s">
        <v>1</v>
      </c>
      <c r="T54" s="23" t="s">
        <v>1</v>
      </c>
      <c r="U54" s="23" t="s">
        <v>1</v>
      </c>
      <c r="V54" s="23" t="s">
        <v>1</v>
      </c>
    </row>
    <row r="55" spans="1:22" ht="18" customHeight="1" x14ac:dyDescent="0.35">
      <c r="A55" s="2" t="s">
        <v>50</v>
      </c>
      <c r="B55" s="12">
        <f>B46-B54+B53</f>
        <v>-31260033.204609048</v>
      </c>
      <c r="C55" s="12">
        <f t="shared" ref="C55:L55" si="17">C46-C54+C53</f>
        <v>5805443.9187069302</v>
      </c>
      <c r="D55" s="12">
        <f t="shared" si="17"/>
        <v>6825074.1042888621</v>
      </c>
      <c r="E55" s="12">
        <f t="shared" si="17"/>
        <v>7756144.5134247951</v>
      </c>
      <c r="F55" s="12">
        <f t="shared" si="17"/>
        <v>8074217.1534819854</v>
      </c>
      <c r="G55" s="12">
        <f t="shared" si="17"/>
        <v>7756023.7773115095</v>
      </c>
      <c r="H55" s="12">
        <f t="shared" si="17"/>
        <v>7008294.8144885814</v>
      </c>
      <c r="I55" s="12">
        <f t="shared" si="17"/>
        <v>5871523.843147058</v>
      </c>
      <c r="J55" s="12">
        <f t="shared" si="17"/>
        <v>4396668.4823053889</v>
      </c>
      <c r="K55" s="12">
        <f t="shared" si="17"/>
        <v>2732777.9518636023</v>
      </c>
      <c r="L55" s="12">
        <f t="shared" si="17"/>
        <v>9651512.2843007464</v>
      </c>
      <c r="M55" s="12" t="s">
        <v>1</v>
      </c>
      <c r="N55" s="12" t="s">
        <v>1</v>
      </c>
      <c r="O55" s="12" t="s">
        <v>1</v>
      </c>
      <c r="P55" s="12" t="s">
        <v>1</v>
      </c>
      <c r="Q55" s="12" t="s">
        <v>1</v>
      </c>
      <c r="R55" s="12" t="s">
        <v>1</v>
      </c>
      <c r="S55" s="12" t="s">
        <v>1</v>
      </c>
      <c r="T55" s="12" t="s">
        <v>1</v>
      </c>
      <c r="U55" s="12" t="s">
        <v>1</v>
      </c>
      <c r="V55" s="12" t="s">
        <v>1</v>
      </c>
    </row>
    <row r="56" spans="1:22" ht="18" customHeight="1" x14ac:dyDescent="0.35">
      <c r="A56" s="2" t="s">
        <v>51</v>
      </c>
      <c r="B56" s="25">
        <f>IRR(B55:L55,B48)</f>
        <v>0.16991419578657618</v>
      </c>
      <c r="C56" s="25"/>
      <c r="D56" s="25" t="s">
        <v>1</v>
      </c>
      <c r="E56" s="25" t="s">
        <v>1</v>
      </c>
      <c r="F56" s="25" t="s">
        <v>1</v>
      </c>
      <c r="G56" s="25" t="s">
        <v>1</v>
      </c>
      <c r="H56" s="25" t="s">
        <v>1</v>
      </c>
      <c r="I56" s="25" t="s">
        <v>1</v>
      </c>
      <c r="J56" s="25" t="s">
        <v>1</v>
      </c>
      <c r="K56" s="25" t="s">
        <v>1</v>
      </c>
      <c r="L56" s="25" t="s">
        <v>1</v>
      </c>
      <c r="M56" s="25" t="s">
        <v>1</v>
      </c>
      <c r="N56" s="25" t="s">
        <v>1</v>
      </c>
      <c r="O56" s="25" t="s">
        <v>1</v>
      </c>
      <c r="P56" s="25" t="s">
        <v>1</v>
      </c>
      <c r="Q56" s="25" t="s">
        <v>1</v>
      </c>
      <c r="R56" s="25" t="s">
        <v>1</v>
      </c>
      <c r="S56" s="25" t="s">
        <v>1</v>
      </c>
      <c r="T56" s="25" t="s">
        <v>1</v>
      </c>
      <c r="U56" s="25" t="s">
        <v>1</v>
      </c>
      <c r="V56" s="25" t="s">
        <v>1</v>
      </c>
    </row>
    <row r="57" spans="1:22" ht="18" customHeight="1" x14ac:dyDescent="0.35">
      <c r="A57" s="2" t="s">
        <v>52</v>
      </c>
      <c r="B57" s="42">
        <f>NPV(B48,B55,C55,D55,E55,F55,G55,H55,I55,J55,K55)</f>
        <v>1933809.5569605858</v>
      </c>
      <c r="C57" s="27" t="s">
        <v>1</v>
      </c>
      <c r="D57" s="27" t="s">
        <v>1</v>
      </c>
      <c r="E57" s="27" t="s">
        <v>1</v>
      </c>
      <c r="F57" s="27" t="s">
        <v>1</v>
      </c>
      <c r="G57" s="27" t="s">
        <v>1</v>
      </c>
      <c r="H57" s="27" t="s">
        <v>1</v>
      </c>
      <c r="I57" s="27" t="s">
        <v>1</v>
      </c>
      <c r="J57" s="27" t="s">
        <v>1</v>
      </c>
      <c r="K57" s="27" t="s">
        <v>1</v>
      </c>
      <c r="L57" s="27" t="s">
        <v>1</v>
      </c>
      <c r="M57" s="27" t="s">
        <v>1</v>
      </c>
      <c r="N57" s="27" t="s">
        <v>1</v>
      </c>
      <c r="O57" s="27" t="s">
        <v>1</v>
      </c>
      <c r="P57" s="27" t="s">
        <v>1</v>
      </c>
      <c r="Q57" s="27" t="s">
        <v>1</v>
      </c>
      <c r="R57" s="27" t="s">
        <v>1</v>
      </c>
      <c r="S57" s="27" t="s">
        <v>1</v>
      </c>
      <c r="T57" s="27" t="s">
        <v>1</v>
      </c>
      <c r="U57" s="27" t="s">
        <v>1</v>
      </c>
      <c r="V57" s="27" t="s">
        <v>1</v>
      </c>
    </row>
    <row r="58" spans="1:22" ht="18" customHeight="1" x14ac:dyDescent="0.35">
      <c r="B58" s="24"/>
      <c r="C58" s="28"/>
      <c r="D58" s="28"/>
    </row>
    <row r="59" spans="1:22" ht="18" customHeight="1" x14ac:dyDescent="0.55000000000000004">
      <c r="A59" s="36" t="s">
        <v>86</v>
      </c>
      <c r="E59" s="20" t="s">
        <v>53</v>
      </c>
      <c r="F59" s="7">
        <v>4.22</v>
      </c>
      <c r="G59" s="22" t="s">
        <v>54</v>
      </c>
      <c r="H59" s="34"/>
    </row>
    <row r="60" spans="1:22" ht="18" customHeight="1" x14ac:dyDescent="0.35">
      <c r="A60" s="36" t="s">
        <v>55</v>
      </c>
    </row>
    <row r="61" spans="1:22" ht="18" customHeight="1" x14ac:dyDescent="0.35">
      <c r="A61" s="2" t="s">
        <v>56</v>
      </c>
      <c r="B61" s="11">
        <v>0.03</v>
      </c>
    </row>
    <row r="62" spans="1:22" ht="18" customHeight="1" x14ac:dyDescent="0.35">
      <c r="A62" s="2" t="s">
        <v>57</v>
      </c>
      <c r="B62" s="18">
        <f>B19</f>
        <v>40</v>
      </c>
      <c r="C62" s="15">
        <f t="shared" ref="C62:K62" si="18">B62+1</f>
        <v>41</v>
      </c>
      <c r="D62" s="15">
        <f t="shared" si="18"/>
        <v>42</v>
      </c>
      <c r="E62" s="15">
        <f t="shared" si="18"/>
        <v>43</v>
      </c>
      <c r="F62" s="15">
        <f t="shared" si="18"/>
        <v>44</v>
      </c>
      <c r="G62" s="15">
        <f t="shared" si="18"/>
        <v>45</v>
      </c>
      <c r="H62" s="15">
        <f t="shared" si="18"/>
        <v>46</v>
      </c>
      <c r="I62" s="15">
        <f t="shared" si="18"/>
        <v>47</v>
      </c>
      <c r="J62" s="15">
        <f t="shared" si="18"/>
        <v>48</v>
      </c>
      <c r="K62" s="15">
        <f t="shared" si="18"/>
        <v>49</v>
      </c>
    </row>
    <row r="63" spans="1:22" ht="18" customHeight="1" x14ac:dyDescent="0.35">
      <c r="A63" s="36" t="s">
        <v>58</v>
      </c>
      <c r="B63" s="2">
        <v>8.5999999999999998E-4</v>
      </c>
      <c r="C63" s="2">
        <v>1.06E-3</v>
      </c>
      <c r="D63" s="2">
        <v>1.2999999999999999E-3</v>
      </c>
      <c r="E63" s="2">
        <v>1.58E-3</v>
      </c>
      <c r="F63" s="2">
        <v>1.89E-3</v>
      </c>
      <c r="G63" s="2">
        <v>2.2499999999999998E-3</v>
      </c>
      <c r="H63" s="2">
        <v>2.65E-3</v>
      </c>
      <c r="I63" s="2">
        <v>3.0899999999999999E-3</v>
      </c>
      <c r="J63" s="2">
        <v>3.5799999999999998E-3</v>
      </c>
      <c r="K63" s="2">
        <v>4.1000000000000003E-3</v>
      </c>
    </row>
    <row r="64" spans="1:22" ht="18" customHeight="1" x14ac:dyDescent="0.35"/>
    <row r="65" spans="1:18" ht="18" customHeight="1" x14ac:dyDescent="0.35">
      <c r="A65" s="2" t="s">
        <v>59</v>
      </c>
    </row>
    <row r="66" spans="1:18" ht="18" customHeight="1" x14ac:dyDescent="0.35">
      <c r="A66" s="2" t="s">
        <v>13</v>
      </c>
      <c r="B66" s="15">
        <v>1</v>
      </c>
      <c r="C66" s="15">
        <v>2</v>
      </c>
      <c r="D66" s="15">
        <v>3</v>
      </c>
      <c r="E66" s="15">
        <v>4</v>
      </c>
      <c r="F66" s="15">
        <v>5</v>
      </c>
      <c r="G66" s="15">
        <v>6</v>
      </c>
      <c r="H66" s="15">
        <v>7</v>
      </c>
      <c r="I66" s="15">
        <v>8</v>
      </c>
      <c r="J66" s="15">
        <v>9</v>
      </c>
      <c r="K66" s="15">
        <v>10</v>
      </c>
    </row>
    <row r="67" spans="1:18" ht="18" customHeight="1" x14ac:dyDescent="0.35">
      <c r="A67" s="2" t="s">
        <v>60</v>
      </c>
      <c r="C67" s="17">
        <v>0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f>K16</f>
        <v>1</v>
      </c>
    </row>
    <row r="68" spans="1:18" ht="18" customHeight="1" x14ac:dyDescent="0.35">
      <c r="B68" s="17">
        <v>0</v>
      </c>
    </row>
    <row r="69" spans="1:18" ht="18" customHeight="1" x14ac:dyDescent="0.35">
      <c r="A69" s="2" t="s">
        <v>87</v>
      </c>
      <c r="B69" s="15">
        <v>1</v>
      </c>
      <c r="C69" s="15">
        <v>2</v>
      </c>
      <c r="D69" s="15">
        <v>3</v>
      </c>
      <c r="E69" s="15">
        <v>4</v>
      </c>
      <c r="F69" s="15">
        <v>5</v>
      </c>
      <c r="G69" s="15">
        <v>6</v>
      </c>
      <c r="H69" s="15">
        <v>7</v>
      </c>
      <c r="I69" s="15">
        <v>8</v>
      </c>
      <c r="J69" s="15">
        <v>9</v>
      </c>
      <c r="K69" s="15">
        <v>10</v>
      </c>
      <c r="L69" s="15">
        <v>11</v>
      </c>
    </row>
    <row r="70" spans="1:18" ht="18" customHeight="1" x14ac:dyDescent="0.35">
      <c r="A70" s="36" t="s">
        <v>28</v>
      </c>
      <c r="B70" s="9">
        <f>B27</f>
        <v>100000</v>
      </c>
      <c r="C70" s="9">
        <f>B70*(1-B63)*(1-B68)</f>
        <v>99914</v>
      </c>
      <c r="D70" s="9">
        <f t="shared" ref="D70:L70" si="19">C70*(1-C63)*(1-C67)</f>
        <v>99808.091160000011</v>
      </c>
      <c r="E70" s="9">
        <f t="shared" si="19"/>
        <v>99678.340641492017</v>
      </c>
      <c r="F70" s="9">
        <f t="shared" si="19"/>
        <v>99520.848863278457</v>
      </c>
      <c r="G70" s="9">
        <f t="shared" si="19"/>
        <v>99332.754458926865</v>
      </c>
      <c r="H70" s="9">
        <f t="shared" si="19"/>
        <v>99109.255761394277</v>
      </c>
      <c r="I70" s="9">
        <f t="shared" si="19"/>
        <v>98846.616233626584</v>
      </c>
      <c r="J70" s="9">
        <f t="shared" si="19"/>
        <v>98541.180189464678</v>
      </c>
      <c r="K70" s="9">
        <f t="shared" si="19"/>
        <v>98188.402764386396</v>
      </c>
      <c r="L70" s="9">
        <f t="shared" si="19"/>
        <v>0</v>
      </c>
    </row>
    <row r="71" spans="1:18" ht="18" customHeight="1" x14ac:dyDescent="0.35">
      <c r="A71" s="2" t="s">
        <v>61</v>
      </c>
      <c r="B71" s="29">
        <f>B70*(B4/1000)*B14</f>
        <v>72000000</v>
      </c>
      <c r="C71" s="29">
        <f>C70*(B4/1000)*C14</f>
        <v>71938080</v>
      </c>
      <c r="D71" s="29">
        <f>D70*(B4/1000)*D14</f>
        <v>71861825.635200009</v>
      </c>
      <c r="E71" s="29">
        <f>E70*(B4/1000)*E14</f>
        <v>71768405.261874259</v>
      </c>
      <c r="F71" s="29">
        <f>F70*(B4/1000)*F14</f>
        <v>71655011.181560487</v>
      </c>
      <c r="G71" s="29">
        <f>G70*(B4/1000)*G14</f>
        <v>71519583.210427344</v>
      </c>
      <c r="H71" s="29">
        <f>H70*(B4/1000)*H14</f>
        <v>71358664.14820388</v>
      </c>
      <c r="I71" s="29">
        <f>I70*(B4/1000)*I14</f>
        <v>71169563.688211128</v>
      </c>
      <c r="J71" s="29">
        <f>J70*(B4/1000)*J14</f>
        <v>70949649.736414567</v>
      </c>
      <c r="K71" s="29">
        <f>K70*(B4/1000)*K14</f>
        <v>70695649.990358204</v>
      </c>
      <c r="L71" s="29">
        <f>L70*(B4/1000)*L14</f>
        <v>0</v>
      </c>
      <c r="M71" s="29" t="s">
        <v>1</v>
      </c>
      <c r="N71" s="29" t="s">
        <v>1</v>
      </c>
      <c r="O71" s="29" t="s">
        <v>1</v>
      </c>
      <c r="P71" s="29" t="s">
        <v>1</v>
      </c>
      <c r="Q71" s="29" t="s">
        <v>1</v>
      </c>
      <c r="R71" s="29" t="s">
        <v>1</v>
      </c>
    </row>
    <row r="72" spans="1:18" ht="18" customHeight="1" x14ac:dyDescent="0.35">
      <c r="A72" s="2" t="s">
        <v>62</v>
      </c>
      <c r="B72" s="29">
        <f>(B3*B8)+(B28/1000)*B9</f>
        <v>12500000</v>
      </c>
      <c r="C72" s="29" t="s">
        <v>1</v>
      </c>
      <c r="D72" s="29" t="s">
        <v>1</v>
      </c>
      <c r="E72" s="29" t="s">
        <v>1</v>
      </c>
      <c r="F72" s="29" t="s">
        <v>1</v>
      </c>
      <c r="G72" s="29" t="s">
        <v>1</v>
      </c>
      <c r="H72" s="29" t="s">
        <v>1</v>
      </c>
      <c r="I72" s="29" t="s">
        <v>1</v>
      </c>
      <c r="J72" s="29" t="s">
        <v>1</v>
      </c>
      <c r="K72" s="29" t="s">
        <v>1</v>
      </c>
      <c r="L72" s="29" t="s">
        <v>1</v>
      </c>
      <c r="M72" s="29" t="s">
        <v>1</v>
      </c>
      <c r="N72" s="29" t="s">
        <v>1</v>
      </c>
      <c r="O72" s="29" t="s">
        <v>1</v>
      </c>
      <c r="P72" s="29" t="s">
        <v>1</v>
      </c>
      <c r="Q72" s="29" t="s">
        <v>1</v>
      </c>
      <c r="R72" s="29" t="s">
        <v>1</v>
      </c>
    </row>
    <row r="73" spans="1:18" ht="18" customHeight="1" x14ac:dyDescent="0.35">
      <c r="A73" s="2" t="s">
        <v>63</v>
      </c>
      <c r="B73" s="12">
        <f>(B70*B10)+(B76/1000)*B11</f>
        <v>2500000</v>
      </c>
      <c r="C73" s="12">
        <f>(C70*B10)+(C76/1000)*B11</f>
        <v>2497850</v>
      </c>
      <c r="D73" s="12">
        <f>(D70*B10)+(D76/1000)*B11</f>
        <v>2495202.2790000006</v>
      </c>
      <c r="E73" s="12">
        <f>(E70*B10)+(E76/1000)*B11</f>
        <v>2491958.5160373007</v>
      </c>
      <c r="F73" s="12">
        <f>(F70*B10)+(F76/1000)*B11</f>
        <v>2488021.2215819615</v>
      </c>
      <c r="G73" s="12">
        <f>(G70*B10)+(G76/1000)*B11</f>
        <v>2483318.8614731715</v>
      </c>
      <c r="H73" s="12">
        <f>(H70*B10)+(H76/1000)*B11</f>
        <v>2477731.3940348569</v>
      </c>
      <c r="I73" s="12">
        <f>(I70*B10)+(I76/1000)*B11</f>
        <v>2471165.4058406646</v>
      </c>
      <c r="J73" s="12">
        <f>(J70*B10)+(J76/1000)*B11</f>
        <v>2463529.5047366172</v>
      </c>
      <c r="K73" s="12">
        <f>(K70*B10)+(K76/1000)*B11</f>
        <v>2454710.0691096601</v>
      </c>
      <c r="L73" s="12">
        <f t="shared" ref="L73" si="20">(L70*L10)+(L76/1000)*L11</f>
        <v>0</v>
      </c>
      <c r="M73" s="12" t="s">
        <v>1</v>
      </c>
      <c r="N73" s="12" t="s">
        <v>1</v>
      </c>
      <c r="O73" s="12" t="s">
        <v>1</v>
      </c>
      <c r="P73" s="12" t="s">
        <v>1</v>
      </c>
      <c r="Q73" s="12" t="s">
        <v>1</v>
      </c>
      <c r="R73" s="12" t="s">
        <v>1</v>
      </c>
    </row>
    <row r="74" spans="1:18" ht="18" customHeight="1" x14ac:dyDescent="0.35">
      <c r="A74" s="2" t="s">
        <v>64</v>
      </c>
      <c r="B74" s="12">
        <f>B71*B17</f>
        <v>50400000</v>
      </c>
      <c r="C74" s="12">
        <f>C71*C18</f>
        <v>3596904</v>
      </c>
      <c r="D74" s="12">
        <f t="shared" ref="D74:L74" si="21">D71*D18</f>
        <v>3593091.2817600006</v>
      </c>
      <c r="E74" s="12">
        <f t="shared" si="21"/>
        <v>3588420.2630937132</v>
      </c>
      <c r="F74" s="12">
        <f t="shared" si="21"/>
        <v>3582750.5590780247</v>
      </c>
      <c r="G74" s="12">
        <f t="shared" si="21"/>
        <v>3575979.1605213676</v>
      </c>
      <c r="H74" s="12">
        <f t="shared" si="21"/>
        <v>3567933.207410194</v>
      </c>
      <c r="I74" s="12">
        <f t="shared" si="21"/>
        <v>3558478.1844105567</v>
      </c>
      <c r="J74" s="12">
        <f t="shared" si="21"/>
        <v>3547482.4868207285</v>
      </c>
      <c r="K74" s="12">
        <f t="shared" si="21"/>
        <v>3534782.4995179102</v>
      </c>
      <c r="L74" s="12">
        <f t="shared" si="21"/>
        <v>0</v>
      </c>
      <c r="M74" s="12" t="s">
        <v>1</v>
      </c>
      <c r="N74" s="12" t="s">
        <v>1</v>
      </c>
      <c r="O74" s="12" t="s">
        <v>1</v>
      </c>
      <c r="P74" s="12" t="s">
        <v>1</v>
      </c>
      <c r="Q74" s="12" t="s">
        <v>1</v>
      </c>
      <c r="R74" s="12" t="s">
        <v>1</v>
      </c>
    </row>
    <row r="75" spans="1:18" ht="18" customHeight="1" x14ac:dyDescent="0.35">
      <c r="A75" s="2" t="s">
        <v>65</v>
      </c>
      <c r="B75" s="12">
        <f>B76*B63</f>
        <v>25800000</v>
      </c>
      <c r="C75" s="12">
        <f t="shared" ref="C75:L75" si="22">C76*C63</f>
        <v>31772652</v>
      </c>
      <c r="D75" s="12">
        <f t="shared" si="22"/>
        <v>38925155.5524</v>
      </c>
      <c r="E75" s="12">
        <f t="shared" si="22"/>
        <v>47247533.464067213</v>
      </c>
      <c r="F75" s="12">
        <f t="shared" si="22"/>
        <v>56428321.305478878</v>
      </c>
      <c r="G75" s="12">
        <f t="shared" si="22"/>
        <v>67049609.259775624</v>
      </c>
      <c r="H75" s="12">
        <f t="shared" si="22"/>
        <v>78791858.330308452</v>
      </c>
      <c r="I75" s="12">
        <f t="shared" si="22"/>
        <v>91630813.248571843</v>
      </c>
      <c r="J75" s="12">
        <f t="shared" si="22"/>
        <v>105833227.52348506</v>
      </c>
      <c r="K75" s="12">
        <f t="shared" si="22"/>
        <v>120771735.40019527</v>
      </c>
      <c r="L75" s="12">
        <f t="shared" si="22"/>
        <v>0</v>
      </c>
      <c r="M75" s="12" t="s">
        <v>1</v>
      </c>
      <c r="N75" s="12" t="s">
        <v>1</v>
      </c>
      <c r="O75" s="12" t="s">
        <v>1</v>
      </c>
      <c r="P75" s="12" t="s">
        <v>1</v>
      </c>
      <c r="Q75" s="12" t="s">
        <v>1</v>
      </c>
      <c r="R75" s="12" t="s">
        <v>1</v>
      </c>
    </row>
    <row r="76" spans="1:18" ht="18" customHeight="1" x14ac:dyDescent="0.35">
      <c r="A76" s="36" t="s">
        <v>66</v>
      </c>
      <c r="B76" s="40">
        <f>B70*B4</f>
        <v>30000000000</v>
      </c>
      <c r="C76" s="40">
        <f>C70*B4</f>
        <v>29974200000</v>
      </c>
      <c r="D76" s="40">
        <f>D70*B4</f>
        <v>29942427348.000004</v>
      </c>
      <c r="E76" s="40">
        <f>E70*B4</f>
        <v>29903502192.447605</v>
      </c>
      <c r="F76" s="40">
        <f>F70*B4</f>
        <v>29856254658.983536</v>
      </c>
      <c r="G76" s="40">
        <f>G70*B4</f>
        <v>29799826337.678059</v>
      </c>
      <c r="H76" s="40">
        <f>H70*B4</f>
        <v>29732776728.418282</v>
      </c>
      <c r="I76" s="40">
        <f>I70*B4</f>
        <v>29653984870.087975</v>
      </c>
      <c r="J76" s="40">
        <f>J70*B4</f>
        <v>29562354056.839405</v>
      </c>
      <c r="K76" s="40">
        <f>K70*B4</f>
        <v>29456520829.315918</v>
      </c>
      <c r="L76" s="10">
        <f>L70*B4</f>
        <v>0</v>
      </c>
      <c r="M76" s="10" t="s">
        <v>1</v>
      </c>
      <c r="N76" s="10" t="s">
        <v>1</v>
      </c>
      <c r="O76" s="10" t="s">
        <v>1</v>
      </c>
      <c r="P76" s="10" t="s">
        <v>1</v>
      </c>
      <c r="Q76" s="10" t="s">
        <v>1</v>
      </c>
      <c r="R76" s="10" t="s">
        <v>1</v>
      </c>
    </row>
    <row r="77" spans="1:18" ht="18" customHeight="1" x14ac:dyDescent="0.35">
      <c r="A77" s="36"/>
      <c r="B77" s="9"/>
      <c r="C77" s="9"/>
      <c r="D77" s="9"/>
      <c r="E77" s="9"/>
      <c r="F77" s="9"/>
      <c r="G77" s="8" t="s">
        <v>1</v>
      </c>
      <c r="H77" s="31" t="s">
        <v>0</v>
      </c>
      <c r="I77" s="9"/>
      <c r="J77" s="9"/>
      <c r="K77" s="9"/>
      <c r="L77" s="9"/>
    </row>
    <row r="78" spans="1:18" ht="18" customHeight="1" x14ac:dyDescent="0.35">
      <c r="A78" s="2" t="s">
        <v>67</v>
      </c>
      <c r="B78" s="32">
        <v>1</v>
      </c>
      <c r="C78" s="32">
        <v>2.2400000000000002</v>
      </c>
      <c r="D78" s="32">
        <v>2.9677720000000001</v>
      </c>
      <c r="E78" s="32">
        <v>4</v>
      </c>
      <c r="F78" s="32">
        <v>5</v>
      </c>
      <c r="G78" s="32">
        <v>6</v>
      </c>
      <c r="H78" s="32">
        <v>7</v>
      </c>
      <c r="I78" s="32">
        <v>8</v>
      </c>
      <c r="J78" s="32">
        <v>9</v>
      </c>
      <c r="K78" s="32">
        <f t="shared" ref="K78" si="23">J78+1</f>
        <v>10</v>
      </c>
    </row>
    <row r="79" spans="1:18" ht="18" customHeight="1" x14ac:dyDescent="0.35">
      <c r="A79" s="2" t="s">
        <v>68</v>
      </c>
    </row>
    <row r="80" spans="1:18" ht="18" customHeight="1" x14ac:dyDescent="0.35">
      <c r="A80" s="8" t="s">
        <v>69</v>
      </c>
      <c r="B80" s="29">
        <f>NPV(B61,C75:K75)*(1+B61)^0.5</f>
        <v>543318790.14868701</v>
      </c>
      <c r="C80" s="29">
        <f>NPV(B61,D75:L75)*(1+B61)^0.5</f>
        <v>527372633.86480653</v>
      </c>
      <c r="D80" s="29">
        <f>NPV(B61,E75:M75)*(1+B61)^0.5</f>
        <v>503689094.59518522</v>
      </c>
      <c r="E80" s="29">
        <f>NPV(B61,F75:N75)*(1+B61)^0.5</f>
        <v>470848758.04855251</v>
      </c>
      <c r="F80" s="29">
        <f>NPV(B61,G75:O75)*(1+B61)^0.5</f>
        <v>427705729.37706023</v>
      </c>
      <c r="G80" s="29">
        <f>NPV(B61,H75:P75)*(1+B61)^0.5</f>
        <v>372488979.87244546</v>
      </c>
      <c r="H80" s="29">
        <f>NPV(B61,I75:Q75)*(1+B61)^0.5</f>
        <v>303698646.62797785</v>
      </c>
      <c r="I80" s="29">
        <f>NPV(B61,J75:R75)*(1+B61)^0.5</f>
        <v>219814487.25872013</v>
      </c>
      <c r="J80" s="29">
        <f>NPV(B61,K75:S75)*(1+B61)^0.5</f>
        <v>118999926.86452341</v>
      </c>
      <c r="K80" s="29">
        <f>NPV(B61,L75:T75)*(1+B61)^0.5</f>
        <v>0</v>
      </c>
      <c r="L80" s="29" t="s">
        <v>1</v>
      </c>
    </row>
    <row r="81" spans="1:12" ht="18" customHeight="1" x14ac:dyDescent="0.35">
      <c r="A81" s="8" t="s">
        <v>70</v>
      </c>
      <c r="B81" s="29">
        <f>NPV(B61, C73:K73)*(1+B61)^(0.5)</f>
        <v>19608343.912753724</v>
      </c>
      <c r="C81" s="29">
        <f>NPV(B61, D73:L73)*(1+B61)^(0.5)</f>
        <v>17661553.350549776</v>
      </c>
      <c r="D81" s="29">
        <f>NPV(B61, E73:M73)*(1+B61)^(0.5)</f>
        <v>15659046.214812066</v>
      </c>
      <c r="E81" s="29">
        <f>NPV(B61, F73:N73)*(1+B61)^(0.5)</f>
        <v>13599755.924859362</v>
      </c>
      <c r="F81" s="29">
        <f>NPV(B61, G73:O73)*(1+B61)^(0.5)</f>
        <v>11482682.84365678</v>
      </c>
      <c r="G81" s="29">
        <f>NPV(B61, H73:P73)*(1+B61)^(0.5)</f>
        <v>9306869.9443025384</v>
      </c>
      <c r="H81" s="29">
        <f>NPV(B61, I73:Q73)*(1+B61)^(0.5)</f>
        <v>7071453.3180831587</v>
      </c>
      <c r="I81" s="29">
        <f>NPV(B61, J73:R73)*(1+B61)^(0.5)</f>
        <v>4775637.9432972521</v>
      </c>
      <c r="J81" s="29">
        <f>NPV(B61, K73:S73)*(1+B61)^(0.5)</f>
        <v>2418697.7004984436</v>
      </c>
      <c r="K81" s="29">
        <f t="shared" ref="K81" si="24">NPV(K61, L73:T73)*(1+K61)^(0.5)</f>
        <v>0</v>
      </c>
      <c r="L81" s="29" t="s">
        <v>1</v>
      </c>
    </row>
    <row r="82" spans="1:12" ht="18" customHeight="1" x14ac:dyDescent="0.35">
      <c r="A82" s="8" t="s">
        <v>71</v>
      </c>
      <c r="B82" s="41">
        <f>NPV(B61,C74:K74)*(1+B61)</f>
        <v>28656425.684386596</v>
      </c>
      <c r="C82" s="41">
        <f>NPV(B61,D74:L74)*(1+B61)</f>
        <v>25811307.334918201</v>
      </c>
      <c r="D82" s="41">
        <f>NPV(B61,E74:M74)*(1+B61)</f>
        <v>22884762.53475295</v>
      </c>
      <c r="E82" s="41">
        <f>NPV(B61,F74:N74)*(1+B61)</f>
        <v>19875232.539809007</v>
      </c>
      <c r="F82" s="41">
        <f>NPV(B61,G74:O74)*(1+B61)</f>
        <v>16781256.440152913</v>
      </c>
      <c r="G82" s="41">
        <f>NPV(B61,H74:P74)*(1+B61)</f>
        <v>13601435.598020494</v>
      </c>
      <c r="H82" s="41">
        <f>NPV(B61,I74:Q74)*(1+B61)</f>
        <v>10334507.462328609</v>
      </c>
      <c r="I82" s="41">
        <f>NPV(B61,J74:R74)*(1+B61)</f>
        <v>6979310.1562555926</v>
      </c>
      <c r="J82" s="41">
        <f>NPV(B61,K74:S74)*(1+B61)</f>
        <v>3534782.4995179102</v>
      </c>
      <c r="K82" s="41">
        <f>NPV(B61,L74:T74)*(1+B61)</f>
        <v>0</v>
      </c>
      <c r="L82" s="29" t="s">
        <v>1</v>
      </c>
    </row>
    <row r="83" spans="1:12" ht="18" customHeight="1" x14ac:dyDescent="0.35">
      <c r="A83" s="8" t="s">
        <v>72</v>
      </c>
      <c r="B83" s="29">
        <f>NPV(B61,C71:K71)*(1+B61)</f>
        <v>573128513.68773198</v>
      </c>
      <c r="C83" s="29">
        <f>NPV(B61,D71:L71)*(1+B61)</f>
        <v>516226146.6983639</v>
      </c>
      <c r="D83" s="29">
        <f>NPV(B61,E71:M71)*(1+B61)</f>
        <v>457695250.69505876</v>
      </c>
      <c r="E83" s="29">
        <f>NPV(B61,F71:N71)*(1+B61)</f>
        <v>397504650.79618013</v>
      </c>
      <c r="F83" s="29">
        <f>NPV(B61,G71:O71)*(1+B61)</f>
        <v>335625128.80305827</v>
      </c>
      <c r="G83" s="29">
        <f>NPV(B61,H71:P71)*(1+B61)</f>
        <v>272028711.96040988</v>
      </c>
      <c r="H83" s="29">
        <f>NPV(B61,I71:Q71)*(1+B61)</f>
        <v>206690149.24657214</v>
      </c>
      <c r="I83" s="29">
        <f>NPV(B61,J71:R71)*(1+B61)</f>
        <v>139586203.12511185</v>
      </c>
      <c r="J83" s="29">
        <f>NPV(B61,K71:S71)*(1+B61)</f>
        <v>70695649.990358204</v>
      </c>
      <c r="K83" s="29">
        <f>NPV(B61,L71:T71)*(1+B61)</f>
        <v>0</v>
      </c>
      <c r="L83" s="29" t="s">
        <v>1</v>
      </c>
    </row>
    <row r="84" spans="1:12" ht="18" customHeight="1" x14ac:dyDescent="0.35">
      <c r="A84" s="2" t="s">
        <v>73</v>
      </c>
      <c r="B84" s="29">
        <f>MAX(0,B80+B81+B82-B83)</f>
        <v>18455046.058095336</v>
      </c>
      <c r="C84" s="29">
        <f t="shared" ref="C84:K84" si="25">MAX(0,C80+C81+C82-C83)</f>
        <v>54619347.85191071</v>
      </c>
      <c r="D84" s="29">
        <f t="shared" si="25"/>
        <v>84537652.649691403</v>
      </c>
      <c r="E84" s="29">
        <f t="shared" si="25"/>
        <v>106819095.71704072</v>
      </c>
      <c r="F84" s="29">
        <f t="shared" si="25"/>
        <v>120344539.85781169</v>
      </c>
      <c r="G84" s="29">
        <f t="shared" si="25"/>
        <v>123368573.45435864</v>
      </c>
      <c r="H84" s="29">
        <f t="shared" si="25"/>
        <v>114414458.16181749</v>
      </c>
      <c r="I84" s="29">
        <f t="shared" si="25"/>
        <v>91983232.233161122</v>
      </c>
      <c r="J84" s="29">
        <f t="shared" si="25"/>
        <v>54257757.074181557</v>
      </c>
      <c r="K84" s="29">
        <f t="shared" si="25"/>
        <v>0</v>
      </c>
      <c r="L84" s="29" t="s">
        <v>1</v>
      </c>
    </row>
    <row r="85" spans="1:12" ht="18" customHeight="1" x14ac:dyDescent="0.35">
      <c r="A85" s="2" t="s">
        <v>74</v>
      </c>
      <c r="B85" s="29">
        <f>C76</f>
        <v>29974200000</v>
      </c>
      <c r="C85" s="29">
        <f t="shared" ref="C85:K85" si="26">D76</f>
        <v>29942427348.000004</v>
      </c>
      <c r="D85" s="29">
        <f t="shared" si="26"/>
        <v>29903502192.447605</v>
      </c>
      <c r="E85" s="29">
        <f t="shared" si="26"/>
        <v>29856254658.983536</v>
      </c>
      <c r="F85" s="29">
        <f t="shared" si="26"/>
        <v>29799826337.678059</v>
      </c>
      <c r="G85" s="29">
        <f t="shared" si="26"/>
        <v>29732776728.418282</v>
      </c>
      <c r="H85" s="29">
        <f t="shared" si="26"/>
        <v>29653984870.087975</v>
      </c>
      <c r="I85" s="29">
        <f t="shared" si="26"/>
        <v>29562354056.839405</v>
      </c>
      <c r="J85" s="29">
        <f t="shared" si="26"/>
        <v>29456520829.315918</v>
      </c>
      <c r="K85" s="29">
        <f t="shared" si="26"/>
        <v>0</v>
      </c>
      <c r="L85" s="29" t="s">
        <v>1</v>
      </c>
    </row>
    <row r="86" spans="1:12" ht="18" customHeight="1" x14ac:dyDescent="0.35">
      <c r="A86" s="2" t="s">
        <v>75</v>
      </c>
      <c r="B86" s="29">
        <f>C28</f>
        <v>23980866720</v>
      </c>
      <c r="C86" s="29">
        <f t="shared" ref="C86:K86" si="27">D28</f>
        <v>21561572376.669231</v>
      </c>
      <c r="D86" s="29">
        <f t="shared" si="27"/>
        <v>19382029673.2183</v>
      </c>
      <c r="E86" s="29">
        <f t="shared" si="27"/>
        <v>17418277430.673412</v>
      </c>
      <c r="F86" s="29">
        <f t="shared" si="27"/>
        <v>15648984077.459892</v>
      </c>
      <c r="G86" s="29">
        <f t="shared" si="27"/>
        <v>14054709788.028299</v>
      </c>
      <c r="H86" s="29">
        <f t="shared" si="27"/>
        <v>12618165321.628668</v>
      </c>
      <c r="I86" s="29">
        <f t="shared" si="27"/>
        <v>11323819323.302792</v>
      </c>
      <c r="J86" s="29">
        <f t="shared" si="27"/>
        <v>10157615475.360588</v>
      </c>
      <c r="K86" s="29" t="str">
        <f t="shared" si="27"/>
        <v xml:space="preserve"> </v>
      </c>
      <c r="L86" s="29" t="s">
        <v>1</v>
      </c>
    </row>
    <row r="87" spans="1:12" ht="18" customHeight="1" x14ac:dyDescent="0.35">
      <c r="A87" s="36" t="s">
        <v>76</v>
      </c>
      <c r="B87" s="12">
        <f>(B86/B85)*B84</f>
        <v>14764964.530517766</v>
      </c>
      <c r="C87" s="12">
        <f t="shared" ref="C87:J87" si="28">(C86/C85)*C84</f>
        <v>39331447.921309181</v>
      </c>
      <c r="D87" s="12">
        <f t="shared" si="28"/>
        <v>54793290.819774315</v>
      </c>
      <c r="E87" s="12">
        <f t="shared" si="28"/>
        <v>62318755.830052875</v>
      </c>
      <c r="F87" s="12">
        <f t="shared" si="28"/>
        <v>63197341.041648261</v>
      </c>
      <c r="G87" s="12">
        <f t="shared" si="28"/>
        <v>58316433.500366941</v>
      </c>
      <c r="H87" s="12">
        <f t="shared" si="28"/>
        <v>48684875.054571263</v>
      </c>
      <c r="I87" s="12">
        <f t="shared" si="28"/>
        <v>35234051.408052132</v>
      </c>
      <c r="J87" s="12">
        <f t="shared" si="28"/>
        <v>18709929.66577924</v>
      </c>
      <c r="K87" s="12">
        <v>0</v>
      </c>
      <c r="L87" s="12" t="s">
        <v>1</v>
      </c>
    </row>
    <row r="88" spans="1:12" ht="18" customHeight="1" x14ac:dyDescent="0.35">
      <c r="A88" s="2" t="s">
        <v>77</v>
      </c>
      <c r="B88" s="29">
        <f>B87</f>
        <v>14764964.530517766</v>
      </c>
      <c r="C88" s="29">
        <f>C87-B87</f>
        <v>24566483.390791416</v>
      </c>
      <c r="D88" s="29">
        <f>D87-C87</f>
        <v>15461842.898465134</v>
      </c>
      <c r="E88" s="29">
        <f t="shared" ref="E88:J88" si="29">E87-D87</f>
        <v>7525465.0102785602</v>
      </c>
      <c r="F88" s="29">
        <f t="shared" si="29"/>
        <v>878585.21159538627</v>
      </c>
      <c r="G88" s="29">
        <f t="shared" si="29"/>
        <v>-4880907.5412813202</v>
      </c>
      <c r="H88" s="29">
        <f t="shared" si="29"/>
        <v>-9631558.4457956776</v>
      </c>
      <c r="I88" s="29">
        <f t="shared" si="29"/>
        <v>-13450823.646519132</v>
      </c>
      <c r="J88" s="29">
        <f t="shared" si="29"/>
        <v>-16524121.742272891</v>
      </c>
      <c r="K88" s="29">
        <f>K87-J87</f>
        <v>-18709929.66577924</v>
      </c>
      <c r="L88" s="29" t="s">
        <v>1</v>
      </c>
    </row>
    <row r="89" spans="1:12" ht="18" customHeight="1" x14ac:dyDescent="0.35">
      <c r="B89" s="29">
        <f>0</f>
        <v>0</v>
      </c>
      <c r="C89" s="29">
        <f>B89</f>
        <v>0</v>
      </c>
      <c r="D89" s="29"/>
      <c r="E89" s="29"/>
      <c r="F89" s="29"/>
      <c r="G89" s="29"/>
      <c r="H89" s="29"/>
      <c r="I89" s="29"/>
      <c r="J89" s="29"/>
      <c r="K89" s="29"/>
    </row>
    <row r="90" spans="1:12" ht="18" customHeight="1" x14ac:dyDescent="0.35">
      <c r="A90" s="2" t="s">
        <v>78</v>
      </c>
      <c r="B90" s="38">
        <v>1</v>
      </c>
      <c r="C90" s="38">
        <f>B90+1</f>
        <v>2</v>
      </c>
      <c r="D90" s="38">
        <f>C90+1</f>
        <v>3</v>
      </c>
      <c r="E90" s="38">
        <f t="shared" ref="E90:L90" si="30">D90+1</f>
        <v>4</v>
      </c>
      <c r="F90" s="38">
        <f t="shared" si="30"/>
        <v>5</v>
      </c>
      <c r="G90" s="38">
        <f t="shared" si="30"/>
        <v>6</v>
      </c>
      <c r="H90" s="38">
        <f t="shared" si="30"/>
        <v>7</v>
      </c>
      <c r="I90" s="38">
        <f t="shared" si="30"/>
        <v>8</v>
      </c>
      <c r="J90" s="38">
        <v>9</v>
      </c>
      <c r="K90" s="38">
        <f t="shared" si="30"/>
        <v>10</v>
      </c>
      <c r="L90" s="38">
        <f t="shared" si="30"/>
        <v>11</v>
      </c>
    </row>
    <row r="91" spans="1:12" ht="18" customHeight="1" x14ac:dyDescent="0.35">
      <c r="A91" s="2" t="s">
        <v>79</v>
      </c>
      <c r="B91" s="30">
        <f>B21*B36</f>
        <v>5979150</v>
      </c>
      <c r="C91" s="30">
        <f>B21*C36</f>
        <v>5891019.8141016001</v>
      </c>
      <c r="D91" s="30">
        <f>B21*D36</f>
        <v>6495962.7177810222</v>
      </c>
      <c r="E91" s="30">
        <f>B21*E36</f>
        <v>7097020.895293979</v>
      </c>
      <c r="F91" s="30">
        <f>B21*F36</f>
        <v>7629336.1517156847</v>
      </c>
      <c r="G91" s="30">
        <f>B21*G36</f>
        <v>8159967.1348904921</v>
      </c>
      <c r="H91" s="30">
        <f>B21*H36</f>
        <v>8631524.3324452303</v>
      </c>
      <c r="I91" s="30">
        <f>B21*I36</f>
        <v>9035962.823058201</v>
      </c>
      <c r="J91" s="30">
        <f>B21*J36</f>
        <v>9394976.5588680115</v>
      </c>
      <c r="K91" s="30">
        <f>B21*K36</f>
        <v>9651512.2843007464</v>
      </c>
      <c r="L91" s="43">
        <v>0</v>
      </c>
    </row>
    <row r="92" spans="1:12" ht="18" customHeight="1" x14ac:dyDescent="0.35">
      <c r="A92" s="2" t="s">
        <v>80</v>
      </c>
      <c r="B92" s="30">
        <f>B91</f>
        <v>5979150</v>
      </c>
      <c r="C92" s="30">
        <f>C91-B91</f>
        <v>-88130.185898399912</v>
      </c>
      <c r="D92" s="30">
        <f t="shared" ref="D92:L92" si="31">D91-C91</f>
        <v>604942.9036794221</v>
      </c>
      <c r="E92" s="30">
        <f t="shared" si="31"/>
        <v>601058.17751295678</v>
      </c>
      <c r="F92" s="30">
        <f t="shared" si="31"/>
        <v>532315.25642170571</v>
      </c>
      <c r="G92" s="30">
        <f t="shared" si="31"/>
        <v>530630.98317480739</v>
      </c>
      <c r="H92" s="30">
        <f t="shared" si="31"/>
        <v>471557.19755473826</v>
      </c>
      <c r="I92" s="30">
        <f t="shared" si="31"/>
        <v>404438.49061297067</v>
      </c>
      <c r="J92" s="30">
        <f t="shared" si="31"/>
        <v>359013.73580981046</v>
      </c>
      <c r="K92" s="30">
        <f t="shared" si="31"/>
        <v>256535.72543273494</v>
      </c>
      <c r="L92" s="30">
        <f t="shared" si="31"/>
        <v>-9651512.2843007464</v>
      </c>
    </row>
    <row r="93" spans="1:12" ht="18" customHeight="1" x14ac:dyDescent="0.35">
      <c r="A93" s="2" t="s">
        <v>81</v>
      </c>
      <c r="B93" s="12">
        <f>B91*B5*(1-B12)</f>
        <v>203111.7255</v>
      </c>
      <c r="C93" s="12">
        <f>C91*C5*(1-B12)</f>
        <v>200117.94308503135</v>
      </c>
      <c r="D93" s="12">
        <f>D91*D5*(1-B12)</f>
        <v>220667.85352302133</v>
      </c>
      <c r="E93" s="12">
        <f>E91*E5*(1-B12)</f>
        <v>241085.79981313646</v>
      </c>
      <c r="F93" s="12">
        <f>F91*F5*(1-B12)</f>
        <v>259168.54907378179</v>
      </c>
      <c r="G93" s="12">
        <f>G91*G5*(1-B12)</f>
        <v>277194.08357223001</v>
      </c>
      <c r="H93" s="12">
        <f>H91*H5*(1-B12)</f>
        <v>293212.88157316449</v>
      </c>
      <c r="I93" s="12">
        <f>I91*I5*(1-B12)</f>
        <v>306951.65709928708</v>
      </c>
      <c r="J93" s="12">
        <f>J91*J5*(1-B12)</f>
        <v>319147.35370474635</v>
      </c>
      <c r="K93" s="12">
        <f>K91*K5*(1-B12)</f>
        <v>327861.87229769636</v>
      </c>
      <c r="L93" s="12">
        <v>0</v>
      </c>
    </row>
    <row r="94" spans="1:12" ht="20" customHeight="1" x14ac:dyDescent="0.35"/>
    <row r="96" spans="1:12" x14ac:dyDescent="0.35">
      <c r="A96" s="36" t="s">
        <v>82</v>
      </c>
      <c r="B96" s="8" t="s">
        <v>0</v>
      </c>
      <c r="C96" s="3"/>
    </row>
    <row r="99" spans="1:13" x14ac:dyDescent="0.35">
      <c r="A99" s="2" t="s">
        <v>13</v>
      </c>
      <c r="B99" s="33">
        <v>1</v>
      </c>
      <c r="C99" s="33">
        <v>2</v>
      </c>
      <c r="D99" s="33">
        <v>3</v>
      </c>
      <c r="E99" s="33">
        <v>4</v>
      </c>
      <c r="F99" s="33">
        <v>5</v>
      </c>
      <c r="G99" s="33">
        <v>6</v>
      </c>
      <c r="H99" s="33">
        <v>7</v>
      </c>
      <c r="I99" s="33">
        <v>8</v>
      </c>
      <c r="J99" s="33">
        <v>9</v>
      </c>
      <c r="K99" s="33">
        <v>10</v>
      </c>
    </row>
    <row r="100" spans="1:13" x14ac:dyDescent="0.35">
      <c r="A100" s="2" t="s">
        <v>83</v>
      </c>
      <c r="B100" s="32">
        <f>'Sensitivity Tests'!B30</f>
        <v>1</v>
      </c>
      <c r="F100" s="8" t="s">
        <v>1</v>
      </c>
      <c r="G100" s="8" t="s">
        <v>0</v>
      </c>
      <c r="K100" s="8" t="s">
        <v>1</v>
      </c>
      <c r="L100" s="8" t="s">
        <v>0</v>
      </c>
      <c r="M100" s="8" t="s">
        <v>0</v>
      </c>
    </row>
    <row r="101" spans="1:13" x14ac:dyDescent="0.35">
      <c r="A101" s="2" t="s">
        <v>84</v>
      </c>
      <c r="B101" s="1">
        <v>7.9721999999999996E-4</v>
      </c>
      <c r="C101" s="1">
        <v>9.8262000000000002E-4</v>
      </c>
      <c r="D101" s="1">
        <v>1.2051E-3</v>
      </c>
      <c r="E101" s="1">
        <v>1.46466E-3</v>
      </c>
      <c r="F101" s="1">
        <v>1.7520299999999999E-3</v>
      </c>
      <c r="G101" s="1">
        <v>2.0857499999999999E-3</v>
      </c>
      <c r="H101" s="1">
        <v>2.4565500000000001E-3</v>
      </c>
      <c r="I101" s="1">
        <v>2.8644299999999998E-3</v>
      </c>
      <c r="J101" s="1">
        <v>3.3186600000000002E-3</v>
      </c>
      <c r="K101" s="1">
        <v>3.8007000000000002E-3</v>
      </c>
    </row>
  </sheetData>
  <sheetProtection algorithmName="SHA-512" hashValue="xVGaK0FXckHvVyxd6H6BhR8coJmITmEhEo+N06woLbvkSHw7+ZRcH/X1sro7VxKkM9HYTfdqwbVAl95KP4HGuw==" saltValue="81hR6ypU/9uBfpUOpaqSbA==" spinCount="100000" sheet="1" formatCells="0" formatColumns="0" formatRows="0" insertColumns="0" insertRows="0" insertHyperlinks="0" sort="0" autoFilter="0" pivotTables="0"/>
  <printOptions headings="1" gridLines="1"/>
  <pageMargins left="0.75" right="0.75" top="1" bottom="1" header="0.3" footer="0.3"/>
  <pageSetup scale="35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7D0FD-F724-4FAD-90C5-EA6E553151D6}">
  <sheetPr>
    <pageSetUpPr fitToPage="1"/>
  </sheetPr>
  <dimension ref="A1:W101"/>
  <sheetViews>
    <sheetView topLeftCell="A88" zoomScale="85" workbookViewId="0">
      <selection activeCell="B16" sqref="B16"/>
    </sheetView>
  </sheetViews>
  <sheetFormatPr defaultColWidth="8.6328125" defaultRowHeight="14.5" x14ac:dyDescent="0.35"/>
  <cols>
    <col min="1" max="1" width="52.26953125" style="2" customWidth="1"/>
    <col min="2" max="12" width="16.6328125" style="2" customWidth="1"/>
    <col min="13" max="16384" width="8.6328125" style="2"/>
  </cols>
  <sheetData>
    <row r="1" spans="1:11" ht="18" customHeight="1" x14ac:dyDescent="0.35">
      <c r="A1" s="36" t="s">
        <v>91</v>
      </c>
      <c r="B1" s="8" t="s">
        <v>0</v>
      </c>
      <c r="C1" s="3" t="s">
        <v>1</v>
      </c>
      <c r="D1" s="4" t="s">
        <v>1</v>
      </c>
    </row>
    <row r="2" spans="1:11" ht="18" customHeight="1" x14ac:dyDescent="0.55000000000000004">
      <c r="A2" s="37" t="s">
        <v>2</v>
      </c>
      <c r="B2" s="8" t="s">
        <v>0</v>
      </c>
      <c r="C2" s="3" t="s">
        <v>1</v>
      </c>
      <c r="D2" s="5" t="s">
        <v>1</v>
      </c>
      <c r="E2" s="6" t="s">
        <v>3</v>
      </c>
      <c r="F2" s="7">
        <v>1</v>
      </c>
      <c r="G2" s="6" t="s">
        <v>4</v>
      </c>
    </row>
    <row r="3" spans="1:11" ht="18" customHeight="1" x14ac:dyDescent="0.35">
      <c r="A3" s="8" t="s">
        <v>85</v>
      </c>
      <c r="B3" s="9">
        <v>100000</v>
      </c>
    </row>
    <row r="4" spans="1:11" ht="18" customHeight="1" x14ac:dyDescent="0.35">
      <c r="A4" s="2" t="s">
        <v>5</v>
      </c>
      <c r="B4" s="9">
        <f>'Sensitivity Tests'!B1</f>
        <v>300000</v>
      </c>
      <c r="C4" s="10"/>
    </row>
    <row r="5" spans="1:11" ht="18" customHeight="1" x14ac:dyDescent="0.35">
      <c r="A5" s="36" t="s">
        <v>6</v>
      </c>
      <c r="B5" s="11">
        <f>'Sensitivity Tests'!B46</f>
        <v>4.2999999999999997E-2</v>
      </c>
      <c r="C5" s="11">
        <f>B5</f>
        <v>4.2999999999999997E-2</v>
      </c>
      <c r="D5" s="11">
        <f t="shared" ref="D5:K5" si="0">C5</f>
        <v>4.2999999999999997E-2</v>
      </c>
      <c r="E5" s="11">
        <f t="shared" si="0"/>
        <v>4.2999999999999997E-2</v>
      </c>
      <c r="F5" s="11">
        <f t="shared" si="0"/>
        <v>4.2999999999999997E-2</v>
      </c>
      <c r="G5" s="11">
        <f t="shared" si="0"/>
        <v>4.2999999999999997E-2</v>
      </c>
      <c r="H5" s="11">
        <f t="shared" si="0"/>
        <v>4.2999999999999997E-2</v>
      </c>
      <c r="I5" s="11">
        <f t="shared" si="0"/>
        <v>4.2999999999999997E-2</v>
      </c>
      <c r="J5" s="11">
        <f t="shared" si="0"/>
        <v>4.2999999999999997E-2</v>
      </c>
      <c r="K5" s="11">
        <f t="shared" si="0"/>
        <v>4.2999999999999997E-2</v>
      </c>
    </row>
    <row r="6" spans="1:11" ht="18" customHeight="1" x14ac:dyDescent="0.35"/>
    <row r="7" spans="1:11" ht="18" customHeight="1" x14ac:dyDescent="0.35">
      <c r="A7" s="36" t="s">
        <v>7</v>
      </c>
    </row>
    <row r="8" spans="1:11" ht="18" customHeight="1" x14ac:dyDescent="0.35">
      <c r="A8" s="2" t="s">
        <v>8</v>
      </c>
      <c r="B8" s="12">
        <f>'Sensitivity Tests'!B6</f>
        <v>50</v>
      </c>
    </row>
    <row r="9" spans="1:11" ht="18" customHeight="1" x14ac:dyDescent="0.35">
      <c r="A9" s="2" t="s">
        <v>9</v>
      </c>
      <c r="B9" s="13">
        <f>'Sensitivity Tests'!B11</f>
        <v>0.25</v>
      </c>
      <c r="D9" s="2" t="s">
        <v>1</v>
      </c>
    </row>
    <row r="10" spans="1:11" ht="18" customHeight="1" x14ac:dyDescent="0.35">
      <c r="A10" s="2" t="s">
        <v>10</v>
      </c>
      <c r="B10" s="12">
        <f>'Sensitivity Tests'!B16</f>
        <v>10</v>
      </c>
    </row>
    <row r="11" spans="1:11" ht="18" customHeight="1" x14ac:dyDescent="0.35">
      <c r="A11" s="2" t="s">
        <v>11</v>
      </c>
      <c r="B11" s="13">
        <f>'Sensitivity Tests'!B21</f>
        <v>0.05</v>
      </c>
    </row>
    <row r="12" spans="1:11" ht="18" customHeight="1" x14ac:dyDescent="0.35">
      <c r="A12" s="2" t="s">
        <v>12</v>
      </c>
      <c r="B12" s="14">
        <f>'Sensitivity Tests'!B26</f>
        <v>0.21</v>
      </c>
    </row>
    <row r="13" spans="1:11" ht="18" customHeight="1" x14ac:dyDescent="0.35">
      <c r="A13" s="2" t="s">
        <v>13</v>
      </c>
      <c r="B13" s="15">
        <v>1</v>
      </c>
      <c r="C13" s="15">
        <v>2</v>
      </c>
      <c r="D13" s="15">
        <v>3</v>
      </c>
      <c r="E13" s="15">
        <v>4</v>
      </c>
      <c r="F13" s="15">
        <v>5</v>
      </c>
      <c r="G13" s="15">
        <v>6</v>
      </c>
      <c r="H13" s="15">
        <v>7</v>
      </c>
      <c r="I13" s="15">
        <v>8</v>
      </c>
      <c r="J13" s="15">
        <v>9</v>
      </c>
      <c r="K13" s="15">
        <v>10</v>
      </c>
    </row>
    <row r="14" spans="1:11" ht="18" customHeight="1" x14ac:dyDescent="0.35">
      <c r="A14" s="2" t="s">
        <v>14</v>
      </c>
      <c r="B14" s="16">
        <v>1.07</v>
      </c>
      <c r="C14" s="16">
        <v>1.33</v>
      </c>
      <c r="D14" s="16">
        <v>1.62</v>
      </c>
      <c r="E14" s="16">
        <v>1.95</v>
      </c>
      <c r="F14" s="16">
        <v>2.3199999999999998</v>
      </c>
      <c r="G14" s="16">
        <v>2.76</v>
      </c>
      <c r="H14" s="16">
        <v>3.24</v>
      </c>
      <c r="I14" s="16">
        <v>3.76</v>
      </c>
      <c r="J14" s="16">
        <v>4.3499999999999996</v>
      </c>
      <c r="K14" s="16">
        <v>4.97</v>
      </c>
    </row>
    <row r="15" spans="1:11" ht="18" customHeight="1" x14ac:dyDescent="0.35">
      <c r="A15" s="2" t="s">
        <v>15</v>
      </c>
      <c r="B15" s="17">
        <f>'Sensitivity Tests'!B38</f>
        <v>0.2</v>
      </c>
    </row>
    <row r="16" spans="1:11" ht="18" customHeight="1" x14ac:dyDescent="0.35">
      <c r="A16" s="2" t="s">
        <v>16</v>
      </c>
      <c r="C16" s="17">
        <f>'Sensitivity Tests'!B42</f>
        <v>0.1</v>
      </c>
      <c r="D16" s="17">
        <f>C16</f>
        <v>0.1</v>
      </c>
      <c r="E16" s="17">
        <f t="shared" ref="E16:J16" si="1">D16</f>
        <v>0.1</v>
      </c>
      <c r="F16" s="17">
        <f t="shared" si="1"/>
        <v>0.1</v>
      </c>
      <c r="G16" s="17">
        <f>F16</f>
        <v>0.1</v>
      </c>
      <c r="H16" s="17">
        <f t="shared" si="1"/>
        <v>0.1</v>
      </c>
      <c r="I16" s="17">
        <f t="shared" si="1"/>
        <v>0.1</v>
      </c>
      <c r="J16" s="17">
        <f t="shared" si="1"/>
        <v>0.1</v>
      </c>
      <c r="K16" s="17">
        <v>1</v>
      </c>
    </row>
    <row r="17" spans="1:12" ht="18" customHeight="1" x14ac:dyDescent="0.35">
      <c r="A17" s="2" t="s">
        <v>17</v>
      </c>
      <c r="B17" s="17">
        <v>0.7</v>
      </c>
    </row>
    <row r="18" spans="1:12" ht="18" customHeight="1" x14ac:dyDescent="0.35">
      <c r="A18" s="2" t="s">
        <v>18</v>
      </c>
      <c r="C18" s="14">
        <v>0.05</v>
      </c>
      <c r="D18" s="14">
        <f t="shared" ref="D18:K18" si="2">$C$18</f>
        <v>0.05</v>
      </c>
      <c r="E18" s="14">
        <f t="shared" si="2"/>
        <v>0.05</v>
      </c>
      <c r="F18" s="14">
        <f t="shared" si="2"/>
        <v>0.05</v>
      </c>
      <c r="G18" s="14">
        <f t="shared" si="2"/>
        <v>0.05</v>
      </c>
      <c r="H18" s="14">
        <f t="shared" si="2"/>
        <v>0.05</v>
      </c>
      <c r="I18" s="14">
        <f t="shared" si="2"/>
        <v>0.05</v>
      </c>
      <c r="J18" s="14">
        <f t="shared" si="2"/>
        <v>0.05</v>
      </c>
      <c r="K18" s="14">
        <f t="shared" si="2"/>
        <v>0.05</v>
      </c>
    </row>
    <row r="19" spans="1:12" ht="18" customHeight="1" x14ac:dyDescent="0.35">
      <c r="A19" s="2" t="s">
        <v>19</v>
      </c>
      <c r="B19" s="18">
        <v>40</v>
      </c>
      <c r="C19" s="15">
        <f t="shared" ref="C19:K19" si="3">B19+1</f>
        <v>41</v>
      </c>
      <c r="D19" s="15">
        <f t="shared" si="3"/>
        <v>42</v>
      </c>
      <c r="E19" s="15">
        <f t="shared" si="3"/>
        <v>43</v>
      </c>
      <c r="F19" s="15">
        <f t="shared" si="3"/>
        <v>44</v>
      </c>
      <c r="G19" s="15">
        <f t="shared" si="3"/>
        <v>45</v>
      </c>
      <c r="H19" s="15">
        <f t="shared" si="3"/>
        <v>46</v>
      </c>
      <c r="I19" s="15">
        <f t="shared" si="3"/>
        <v>47</v>
      </c>
      <c r="J19" s="15">
        <f t="shared" si="3"/>
        <v>48</v>
      </c>
      <c r="K19" s="15">
        <f t="shared" si="3"/>
        <v>49</v>
      </c>
    </row>
    <row r="20" spans="1:12" ht="18" customHeight="1" x14ac:dyDescent="0.35">
      <c r="A20" s="2" t="s">
        <v>20</v>
      </c>
      <c r="B20" s="2">
        <f>$B$100*B101</f>
        <v>7.9721999999999996E-4</v>
      </c>
      <c r="C20" s="2">
        <f t="shared" ref="C20:K20" si="4">$B$100*C101</f>
        <v>9.8262000000000002E-4</v>
      </c>
      <c r="D20" s="2">
        <f t="shared" si="4"/>
        <v>1.2051E-3</v>
      </c>
      <c r="E20" s="2">
        <f t="shared" si="4"/>
        <v>1.46466E-3</v>
      </c>
      <c r="F20" s="2">
        <f t="shared" si="4"/>
        <v>1.7520299999999999E-3</v>
      </c>
      <c r="G20" s="2">
        <f t="shared" si="4"/>
        <v>2.0857499999999999E-3</v>
      </c>
      <c r="H20" s="2">
        <f t="shared" si="4"/>
        <v>2.4565500000000001E-3</v>
      </c>
      <c r="I20" s="2">
        <f t="shared" si="4"/>
        <v>2.8644299999999998E-3</v>
      </c>
      <c r="J20" s="2">
        <f t="shared" si="4"/>
        <v>3.3186600000000002E-3</v>
      </c>
      <c r="K20" s="2">
        <f t="shared" si="4"/>
        <v>3.8007000000000002E-3</v>
      </c>
    </row>
    <row r="21" spans="1:12" ht="18" customHeight="1" x14ac:dyDescent="0.35">
      <c r="A21" s="2" t="s">
        <v>21</v>
      </c>
      <c r="B21" s="19">
        <v>0.25</v>
      </c>
    </row>
    <row r="22" spans="1:12" ht="18" customHeight="1" x14ac:dyDescent="0.35">
      <c r="A22" s="2" t="s">
        <v>22</v>
      </c>
    </row>
    <row r="23" spans="1:12" ht="18" customHeight="1" x14ac:dyDescent="0.35">
      <c r="A23" s="2" t="s">
        <v>23</v>
      </c>
      <c r="B23" s="2" t="s">
        <v>24</v>
      </c>
    </row>
    <row r="24" spans="1:12" ht="18" customHeight="1" x14ac:dyDescent="0.35">
      <c r="B24" s="2" t="s">
        <v>25</v>
      </c>
    </row>
    <row r="25" spans="1:12" ht="18" customHeight="1" x14ac:dyDescent="0.55000000000000004">
      <c r="E25" s="6" t="s">
        <v>3</v>
      </c>
      <c r="F25" s="35">
        <v>2</v>
      </c>
      <c r="G25" s="20" t="s">
        <v>26</v>
      </c>
      <c r="H25" s="20"/>
      <c r="I25" s="8" t="s">
        <v>1</v>
      </c>
      <c r="J25" s="8" t="s">
        <v>0</v>
      </c>
    </row>
    <row r="26" spans="1:12" ht="18" customHeight="1" x14ac:dyDescent="0.35">
      <c r="A26" s="2" t="s">
        <v>27</v>
      </c>
      <c r="B26" s="15">
        <v>1</v>
      </c>
      <c r="C26" s="15">
        <v>2</v>
      </c>
      <c r="D26" s="15">
        <v>3</v>
      </c>
      <c r="E26" s="15">
        <v>4</v>
      </c>
      <c r="F26" s="15">
        <v>5</v>
      </c>
      <c r="G26" s="15">
        <v>6</v>
      </c>
      <c r="H26" s="15">
        <v>7</v>
      </c>
      <c r="I26" s="15">
        <v>8</v>
      </c>
      <c r="J26" s="15">
        <v>9</v>
      </c>
      <c r="K26" s="15">
        <v>10</v>
      </c>
      <c r="L26" s="15">
        <v>11</v>
      </c>
    </row>
    <row r="27" spans="1:12" ht="18" customHeight="1" x14ac:dyDescent="0.35">
      <c r="A27" s="2" t="s">
        <v>28</v>
      </c>
      <c r="B27" s="21">
        <f>B3</f>
        <v>100000</v>
      </c>
      <c r="C27" s="21">
        <f>B27*(1-B20)*(1-B15)</f>
        <v>79936.222399999999</v>
      </c>
      <c r="D27" s="21">
        <f>C27*(1-C20)*(1-C16)</f>
        <v>71871.907922230777</v>
      </c>
      <c r="E27" s="21">
        <f>D27*(1-D16)*(1-D20)</f>
        <v>64606.765577394333</v>
      </c>
      <c r="F27" s="21">
        <f t="shared" ref="F27:K27" si="5">E27*(1-E20)*(1-E16)</f>
        <v>58060.924768911369</v>
      </c>
      <c r="G27" s="21">
        <f t="shared" si="5"/>
        <v>52163.280258199644</v>
      </c>
      <c r="H27" s="21">
        <f t="shared" si="5"/>
        <v>46849.032626761</v>
      </c>
      <c r="I27" s="21">
        <f t="shared" si="5"/>
        <v>42060.551072095557</v>
      </c>
      <c r="J27" s="21">
        <f t="shared" si="5"/>
        <v>37746.064411009305</v>
      </c>
      <c r="K27" s="21">
        <f t="shared" si="5"/>
        <v>33858.718251201957</v>
      </c>
      <c r="L27" s="21" t="s">
        <v>1</v>
      </c>
    </row>
    <row r="28" spans="1:12" ht="18" customHeight="1" x14ac:dyDescent="0.35">
      <c r="A28" s="2" t="s">
        <v>29</v>
      </c>
      <c r="B28" s="12">
        <f>B27*B4</f>
        <v>30000000000</v>
      </c>
      <c r="C28" s="12">
        <f>C27*B4</f>
        <v>23980866720</v>
      </c>
      <c r="D28" s="12">
        <f>D27*B4</f>
        <v>21561572376.669231</v>
      </c>
      <c r="E28" s="12">
        <f>E27*B4</f>
        <v>19382029673.2183</v>
      </c>
      <c r="F28" s="12">
        <f>F27*B4</f>
        <v>17418277430.673412</v>
      </c>
      <c r="G28" s="12">
        <f>G27*B4</f>
        <v>15648984077.459892</v>
      </c>
      <c r="H28" s="12">
        <f>H27*B4</f>
        <v>14054709788.028299</v>
      </c>
      <c r="I28" s="12">
        <f>I27*B4</f>
        <v>12618165321.628668</v>
      </c>
      <c r="J28" s="12">
        <f>J27*B4</f>
        <v>11323819323.302792</v>
      </c>
      <c r="K28" s="12">
        <f>K27*B4</f>
        <v>10157615475.360588</v>
      </c>
      <c r="L28" s="12" t="s">
        <v>1</v>
      </c>
    </row>
    <row r="29" spans="1:12" ht="18" customHeight="1" x14ac:dyDescent="0.35"/>
    <row r="30" spans="1:12" ht="18" customHeight="1" x14ac:dyDescent="0.55000000000000004">
      <c r="A30" s="2" t="s">
        <v>30</v>
      </c>
      <c r="E30" s="6" t="s">
        <v>3</v>
      </c>
      <c r="F30" s="35">
        <v>2.9677720000000001</v>
      </c>
      <c r="G30" s="22" t="s">
        <v>31</v>
      </c>
      <c r="H30" s="34"/>
    </row>
    <row r="31" spans="1:12" ht="18" customHeight="1" x14ac:dyDescent="0.35">
      <c r="A31" s="15" t="s">
        <v>13</v>
      </c>
      <c r="B31" s="15">
        <v>1</v>
      </c>
      <c r="C31" s="15">
        <v>2</v>
      </c>
      <c r="D31" s="15">
        <v>3</v>
      </c>
      <c r="E31" s="15">
        <v>4</v>
      </c>
      <c r="F31" s="15">
        <v>5</v>
      </c>
      <c r="G31" s="15">
        <v>6</v>
      </c>
      <c r="H31" s="15">
        <v>7</v>
      </c>
      <c r="I31" s="15">
        <v>8</v>
      </c>
      <c r="J31" s="15">
        <v>9</v>
      </c>
      <c r="K31" s="15">
        <v>10</v>
      </c>
      <c r="L31" s="15">
        <v>11</v>
      </c>
    </row>
    <row r="32" spans="1:12" ht="18" customHeight="1" x14ac:dyDescent="0.35">
      <c r="A32" s="2" t="s">
        <v>32</v>
      </c>
      <c r="B32" s="21">
        <f>B27*(B4/1000)*B14</f>
        <v>32100000.000000004</v>
      </c>
      <c r="C32" s="21">
        <f>C27*(B4/1000)*C14</f>
        <v>31894552.737599999</v>
      </c>
      <c r="D32" s="21">
        <f>D27*(B4/1000)*D14</f>
        <v>34929747.250204161</v>
      </c>
      <c r="E32" s="21">
        <f>E27*(B4/1000)*E14</f>
        <v>37794957.862775683</v>
      </c>
      <c r="F32" s="21">
        <f>F27*(B4/1000)*F14</f>
        <v>40410403.639162309</v>
      </c>
      <c r="G32" s="21">
        <f>G27*(B4/1000)*G14</f>
        <v>43191196.053789303</v>
      </c>
      <c r="H32" s="21">
        <f>H27*(B4/1000)*H14</f>
        <v>45537259.713211693</v>
      </c>
      <c r="I32" s="21">
        <f>I27*(B4/1000)*I14</f>
        <v>47444301.609323785</v>
      </c>
      <c r="J32" s="21">
        <f>J27*(B4/1000)*J14</f>
        <v>49258614.056367144</v>
      </c>
      <c r="K32" s="21">
        <f>K27*(B4/1000)*K14</f>
        <v>50483348.91254212</v>
      </c>
      <c r="L32" s="21" t="s">
        <v>1</v>
      </c>
    </row>
    <row r="33" spans="1:23" ht="18" customHeight="1" x14ac:dyDescent="0.35">
      <c r="A33" s="2" t="s">
        <v>33</v>
      </c>
      <c r="B33" s="12">
        <f>(B32-B38-B40)*B5-(B36+B39)*(B5/2)</f>
        <v>-691366.89999999967</v>
      </c>
      <c r="C33" s="39">
        <f>((B87+C32-C40)*B5)-((C36+C39)*(B5/2))</f>
        <v>753299.05577822239</v>
      </c>
      <c r="D33" s="39">
        <f t="shared" ref="D33:K33" si="6">((C87+D32-D40)*C5)-((D36+D39)*(C5/2))</f>
        <v>829596.23093347286</v>
      </c>
      <c r="E33" s="39">
        <f t="shared" si="6"/>
        <v>898854.09520125494</v>
      </c>
      <c r="F33" s="39">
        <f t="shared" si="6"/>
        <v>963434.3325489416</v>
      </c>
      <c r="G33" s="39">
        <f t="shared" si="6"/>
        <v>1034565.4220579283</v>
      </c>
      <c r="H33" s="39">
        <f t="shared" si="6"/>
        <v>1092704.6116575238</v>
      </c>
      <c r="I33" s="39">
        <f t="shared" si="6"/>
        <v>1138399.3717566198</v>
      </c>
      <c r="J33" s="39">
        <f t="shared" si="6"/>
        <v>1183957.8905190313</v>
      </c>
      <c r="K33" s="39">
        <f t="shared" si="6"/>
        <v>1214015.68556746</v>
      </c>
      <c r="L33" s="12" t="s">
        <v>1</v>
      </c>
    </row>
    <row r="34" spans="1:23" ht="18" customHeight="1" x14ac:dyDescent="0.35">
      <c r="A34" s="2" t="s">
        <v>34</v>
      </c>
      <c r="B34" s="21">
        <f>B32+B33</f>
        <v>31408633.100000005</v>
      </c>
      <c r="C34" s="21">
        <f>C32+C33</f>
        <v>32647851.793378223</v>
      </c>
      <c r="D34" s="21">
        <f t="shared" ref="D34:K34" si="7">D32+D33</f>
        <v>35759343.481137633</v>
      </c>
      <c r="E34" s="21">
        <f t="shared" si="7"/>
        <v>38693811.957976937</v>
      </c>
      <c r="F34" s="21">
        <f t="shared" si="7"/>
        <v>41373837.971711248</v>
      </c>
      <c r="G34" s="21">
        <f t="shared" si="7"/>
        <v>44225761.475847229</v>
      </c>
      <c r="H34" s="21">
        <f t="shared" si="7"/>
        <v>46629964.324869215</v>
      </c>
      <c r="I34" s="21">
        <f t="shared" si="7"/>
        <v>48582700.981080405</v>
      </c>
      <c r="J34" s="21">
        <f t="shared" si="7"/>
        <v>50442571.946886174</v>
      </c>
      <c r="K34" s="21">
        <f t="shared" si="7"/>
        <v>51697364.598109581</v>
      </c>
      <c r="L34" s="12" t="s">
        <v>1</v>
      </c>
      <c r="M34" s="12" t="s">
        <v>1</v>
      </c>
      <c r="N34" s="12" t="s">
        <v>1</v>
      </c>
      <c r="O34" s="12" t="s">
        <v>1</v>
      </c>
      <c r="P34" s="12" t="s">
        <v>1</v>
      </c>
      <c r="Q34" s="12" t="s">
        <v>1</v>
      </c>
    </row>
    <row r="35" spans="1:23" ht="18" customHeight="1" x14ac:dyDescent="0.35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23" ht="18" customHeight="1" x14ac:dyDescent="0.35">
      <c r="A36" s="2" t="s">
        <v>35</v>
      </c>
      <c r="B36" s="12">
        <f t="shared" ref="B36:K36" si="8">B28*B20</f>
        <v>23916600</v>
      </c>
      <c r="C36" s="12">
        <f t="shared" si="8"/>
        <v>23564079.2564064</v>
      </c>
      <c r="D36" s="12">
        <f t="shared" si="8"/>
        <v>25983850.871124089</v>
      </c>
      <c r="E36" s="12">
        <f t="shared" si="8"/>
        <v>28388083.581175916</v>
      </c>
      <c r="F36" s="12">
        <f t="shared" si="8"/>
        <v>30517344.606862739</v>
      </c>
      <c r="G36" s="12">
        <f t="shared" si="8"/>
        <v>32639868.539561968</v>
      </c>
      <c r="H36" s="12">
        <f t="shared" si="8"/>
        <v>34526097.329780921</v>
      </c>
      <c r="I36" s="12">
        <f t="shared" si="8"/>
        <v>36143851.292232804</v>
      </c>
      <c r="J36" s="12">
        <f t="shared" si="8"/>
        <v>37579906.235472046</v>
      </c>
      <c r="K36" s="12">
        <f t="shared" si="8"/>
        <v>38606049.137202986</v>
      </c>
      <c r="L36" s="12" t="s">
        <v>1</v>
      </c>
      <c r="M36" s="12" t="s">
        <v>1</v>
      </c>
      <c r="N36" s="12" t="s">
        <v>1</v>
      </c>
      <c r="O36" s="12" t="s">
        <v>1</v>
      </c>
      <c r="P36" s="12" t="s">
        <v>1</v>
      </c>
      <c r="Q36" s="12" t="s">
        <v>1</v>
      </c>
    </row>
    <row r="37" spans="1:23" ht="18" customHeight="1" x14ac:dyDescent="0.35">
      <c r="A37" s="2" t="s">
        <v>36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23" ht="18" customHeight="1" x14ac:dyDescent="0.35">
      <c r="A38" s="8" t="s">
        <v>37</v>
      </c>
      <c r="B38" s="2">
        <f>(B3*B8)+(B28/1000)*B9</f>
        <v>12500000</v>
      </c>
      <c r="C38" s="12"/>
      <c r="D38" s="12" t="s">
        <v>1</v>
      </c>
      <c r="E38" s="12" t="s">
        <v>1</v>
      </c>
      <c r="F38" s="12" t="s">
        <v>1</v>
      </c>
      <c r="G38" s="12" t="s">
        <v>1</v>
      </c>
      <c r="H38" s="12" t="s">
        <v>1</v>
      </c>
      <c r="I38" s="12" t="s">
        <v>1</v>
      </c>
      <c r="J38" s="12" t="s">
        <v>1</v>
      </c>
      <c r="K38" s="12" t="s">
        <v>1</v>
      </c>
      <c r="L38" s="12" t="s">
        <v>1</v>
      </c>
      <c r="M38" s="12" t="s">
        <v>1</v>
      </c>
      <c r="N38" s="12" t="s">
        <v>1</v>
      </c>
      <c r="O38" s="12" t="s">
        <v>1</v>
      </c>
      <c r="P38" s="12" t="s">
        <v>1</v>
      </c>
      <c r="Q38" s="12" t="s">
        <v>1</v>
      </c>
    </row>
    <row r="39" spans="1:23" ht="18" customHeight="1" x14ac:dyDescent="0.35">
      <c r="A39" s="8" t="s">
        <v>38</v>
      </c>
      <c r="B39" s="12">
        <f>(B3*B10)+(B76/1000)*B11</f>
        <v>2500000</v>
      </c>
      <c r="C39" s="12">
        <f>(C27*B10)+(C28/1000)*B11</f>
        <v>1998405.5599999998</v>
      </c>
      <c r="D39" s="12">
        <f>(D27*B10)+(D28/1000)*B11</f>
        <v>1796797.6980557693</v>
      </c>
      <c r="E39" s="12">
        <f>(E27*B10)+(E28/1000)*B11</f>
        <v>1615169.1394348582</v>
      </c>
      <c r="F39" s="12">
        <f>(F27*B10)+(F28/1000)*B11</f>
        <v>1451523.1192227844</v>
      </c>
      <c r="G39" s="12">
        <f>(G27*B10)+(G28/1000)*B11</f>
        <v>1304082.0064549912</v>
      </c>
      <c r="H39" s="12">
        <f>(H27*B10)+(H28/1000)*B11</f>
        <v>1171225.8156690251</v>
      </c>
      <c r="I39" s="12">
        <f>(I27*B10)+(I28/1000)*B11</f>
        <v>1051513.776802389</v>
      </c>
      <c r="J39" s="12">
        <f>(J27*B10)+(J28/1000)*B11</f>
        <v>943651.6102752327</v>
      </c>
      <c r="K39" s="12">
        <f>(K27*B10)+(K28/1000)*B11</f>
        <v>846467.95628004894</v>
      </c>
      <c r="L39" s="12" t="s">
        <v>1</v>
      </c>
      <c r="M39" s="12" t="s">
        <v>1</v>
      </c>
      <c r="N39" s="12" t="s">
        <v>1</v>
      </c>
      <c r="O39" s="12" t="s">
        <v>1</v>
      </c>
      <c r="P39" s="12" t="s">
        <v>1</v>
      </c>
      <c r="Q39" s="12" t="s">
        <v>1</v>
      </c>
    </row>
    <row r="40" spans="1:23" ht="18" customHeight="1" x14ac:dyDescent="0.35">
      <c r="A40" s="8" t="s">
        <v>39</v>
      </c>
      <c r="B40" s="12">
        <f>B32*B17</f>
        <v>22470000</v>
      </c>
      <c r="C40" s="12">
        <f t="shared" ref="C40:K40" si="9">C32*C18</f>
        <v>1594727.6368800001</v>
      </c>
      <c r="D40" s="12">
        <f t="shared" si="9"/>
        <v>1746487.362510208</v>
      </c>
      <c r="E40" s="12">
        <f t="shared" si="9"/>
        <v>1889747.8931387842</v>
      </c>
      <c r="F40" s="12">
        <f t="shared" si="9"/>
        <v>2020520.1819581157</v>
      </c>
      <c r="G40" s="12">
        <f t="shared" si="9"/>
        <v>2159559.8026894652</v>
      </c>
      <c r="H40" s="12">
        <f t="shared" si="9"/>
        <v>2276862.9856605846</v>
      </c>
      <c r="I40" s="12">
        <f t="shared" si="9"/>
        <v>2372215.0804661894</v>
      </c>
      <c r="J40" s="12">
        <f t="shared" si="9"/>
        <v>2462930.7028183574</v>
      </c>
      <c r="K40" s="12">
        <f t="shared" si="9"/>
        <v>2524167.4456271064</v>
      </c>
      <c r="L40" s="12" t="s">
        <v>1</v>
      </c>
      <c r="M40" s="12" t="s">
        <v>1</v>
      </c>
      <c r="N40" s="12" t="s">
        <v>1</v>
      </c>
      <c r="O40" s="12" t="s">
        <v>1</v>
      </c>
      <c r="P40" s="12" t="s">
        <v>1</v>
      </c>
      <c r="Q40" s="12" t="s">
        <v>1</v>
      </c>
    </row>
    <row r="41" spans="1:23" ht="18" customHeight="1" x14ac:dyDescent="0.35">
      <c r="A41" s="2" t="s">
        <v>40</v>
      </c>
      <c r="B41" s="23">
        <f>B88</f>
        <v>0</v>
      </c>
      <c r="C41" s="23">
        <f t="shared" ref="C41:K41" si="10">C88</f>
        <v>0</v>
      </c>
      <c r="D41" s="23">
        <f t="shared" si="10"/>
        <v>0</v>
      </c>
      <c r="E41" s="23">
        <f t="shared" si="10"/>
        <v>0</v>
      </c>
      <c r="F41" s="23">
        <f t="shared" si="10"/>
        <v>0</v>
      </c>
      <c r="G41" s="23">
        <f t="shared" si="10"/>
        <v>0</v>
      </c>
      <c r="H41" s="23">
        <f t="shared" si="10"/>
        <v>0</v>
      </c>
      <c r="I41" s="23">
        <f t="shared" si="10"/>
        <v>0</v>
      </c>
      <c r="J41" s="23">
        <f t="shared" si="10"/>
        <v>0</v>
      </c>
      <c r="K41" s="23">
        <f t="shared" si="10"/>
        <v>0</v>
      </c>
      <c r="L41" s="23" t="s">
        <v>1</v>
      </c>
      <c r="M41" s="23" t="s">
        <v>1</v>
      </c>
      <c r="N41" s="23" t="s">
        <v>1</v>
      </c>
      <c r="O41" s="23" t="s">
        <v>1</v>
      </c>
      <c r="P41" s="23" t="s">
        <v>1</v>
      </c>
      <c r="Q41" s="23" t="s">
        <v>1</v>
      </c>
      <c r="R41" s="23" t="s">
        <v>1</v>
      </c>
      <c r="S41" s="23" t="s">
        <v>1</v>
      </c>
      <c r="T41" s="23" t="s">
        <v>1</v>
      </c>
      <c r="U41" s="23" t="s">
        <v>1</v>
      </c>
      <c r="V41" s="23" t="s">
        <v>1</v>
      </c>
      <c r="W41" s="23" t="s">
        <v>1</v>
      </c>
    </row>
    <row r="42" spans="1:23" ht="18" customHeight="1" x14ac:dyDescent="0.35">
      <c r="A42" s="2" t="s">
        <v>41</v>
      </c>
      <c r="B42" s="12">
        <f>B36+B38+B39+B40+B41</f>
        <v>61386600</v>
      </c>
      <c r="C42" s="12">
        <f t="shared" ref="C42" si="11">C36+C38+C39+C40+C41</f>
        <v>27157212.453286398</v>
      </c>
      <c r="D42" s="12">
        <f>D36+D39+D40+D41</f>
        <v>29527135.931690067</v>
      </c>
      <c r="E42" s="12">
        <f t="shared" ref="E42:K42" si="12">E36+E39+E40+E41</f>
        <v>31893000.61374956</v>
      </c>
      <c r="F42" s="12">
        <f t="shared" si="12"/>
        <v>33989387.908043638</v>
      </c>
      <c r="G42" s="12">
        <f t="shared" si="12"/>
        <v>36103510.348706424</v>
      </c>
      <c r="H42" s="12">
        <f t="shared" si="12"/>
        <v>37974186.131110527</v>
      </c>
      <c r="I42" s="12">
        <f t="shared" si="12"/>
        <v>39567580.149501383</v>
      </c>
      <c r="J42" s="12">
        <f t="shared" si="12"/>
        <v>40986488.548565634</v>
      </c>
      <c r="K42" s="12">
        <f t="shared" si="12"/>
        <v>41976684.539110139</v>
      </c>
      <c r="L42" s="12">
        <v>0</v>
      </c>
      <c r="M42" s="12" t="s">
        <v>1</v>
      </c>
      <c r="N42" s="12" t="s">
        <v>1</v>
      </c>
    </row>
    <row r="43" spans="1:23" ht="18" customHeight="1" x14ac:dyDescent="0.35"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23" ht="18" customHeight="1" x14ac:dyDescent="0.35">
      <c r="A44" s="2" t="s">
        <v>42</v>
      </c>
      <c r="B44" s="12">
        <f>B32+B33-B42</f>
        <v>-29977966.899999995</v>
      </c>
      <c r="C44" s="12">
        <f t="shared" ref="C44:K44" si="13">C32+C33-C42</f>
        <v>5490639.3400918245</v>
      </c>
      <c r="D44" s="12">
        <f t="shared" si="13"/>
        <v>6232207.5494475663</v>
      </c>
      <c r="E44" s="12">
        <f t="shared" si="13"/>
        <v>6800811.3442273773</v>
      </c>
      <c r="F44" s="12">
        <f t="shared" si="13"/>
        <v>7384450.0636676103</v>
      </c>
      <c r="G44" s="12">
        <f t="shared" si="13"/>
        <v>8122251.1271408051</v>
      </c>
      <c r="H44" s="12">
        <f t="shared" si="13"/>
        <v>8655778.1937586889</v>
      </c>
      <c r="I44" s="12">
        <f t="shared" si="13"/>
        <v>9015120.8315790221</v>
      </c>
      <c r="J44" s="12">
        <f t="shared" si="13"/>
        <v>9456083.3983205408</v>
      </c>
      <c r="K44" s="12">
        <f t="shared" si="13"/>
        <v>9720680.0589994416</v>
      </c>
      <c r="L44" s="12">
        <v>0</v>
      </c>
      <c r="M44" s="12" t="s">
        <v>1</v>
      </c>
    </row>
    <row r="45" spans="1:23" ht="18" customHeight="1" x14ac:dyDescent="0.35">
      <c r="A45" s="2" t="s">
        <v>43</v>
      </c>
      <c r="B45" s="23">
        <f>B12*B44</f>
        <v>-6295373.0489999987</v>
      </c>
      <c r="C45" s="23">
        <f>B12*C44</f>
        <v>1153034.261419283</v>
      </c>
      <c r="D45" s="23">
        <f>B12*D44</f>
        <v>1308763.5853839889</v>
      </c>
      <c r="E45" s="23">
        <f>B12*E44</f>
        <v>1428170.3822877491</v>
      </c>
      <c r="F45" s="23">
        <f>B12*F44</f>
        <v>1550734.5133701982</v>
      </c>
      <c r="G45" s="23">
        <f>B12*G44</f>
        <v>1705672.736699569</v>
      </c>
      <c r="H45" s="23">
        <f>B12*H44</f>
        <v>1817713.4206893246</v>
      </c>
      <c r="I45" s="23">
        <f>B12*I44</f>
        <v>1893175.3746315946</v>
      </c>
      <c r="J45" s="23">
        <f>B12*J44</f>
        <v>1985777.5136473135</v>
      </c>
      <c r="K45" s="23">
        <f>B12*K44</f>
        <v>2041342.8123898827</v>
      </c>
      <c r="L45" s="23">
        <v>0</v>
      </c>
      <c r="M45" s="23" t="s">
        <v>1</v>
      </c>
    </row>
    <row r="46" spans="1:23" ht="18" customHeight="1" x14ac:dyDescent="0.35">
      <c r="A46" s="2" t="s">
        <v>44</v>
      </c>
      <c r="B46" s="12">
        <f>B44-B45</f>
        <v>-23682593.850999996</v>
      </c>
      <c r="C46" s="12">
        <f t="shared" ref="C46:K46" si="14">C44-C45</f>
        <v>4337605.0786725413</v>
      </c>
      <c r="D46" s="12">
        <f t="shared" si="14"/>
        <v>4923443.9640635774</v>
      </c>
      <c r="E46" s="12">
        <f t="shared" si="14"/>
        <v>5372640.9619396282</v>
      </c>
      <c r="F46" s="12">
        <f t="shared" si="14"/>
        <v>5833715.5502974121</v>
      </c>
      <c r="G46" s="12">
        <f t="shared" si="14"/>
        <v>6416578.3904412361</v>
      </c>
      <c r="H46" s="12">
        <f t="shared" si="14"/>
        <v>6838064.773069364</v>
      </c>
      <c r="I46" s="12">
        <f t="shared" si="14"/>
        <v>7121945.4569474272</v>
      </c>
      <c r="J46" s="12">
        <f t="shared" si="14"/>
        <v>7470305.8846732276</v>
      </c>
      <c r="K46" s="12">
        <f t="shared" si="14"/>
        <v>7679337.2466095593</v>
      </c>
      <c r="L46" s="12">
        <v>0</v>
      </c>
      <c r="M46" s="12" t="s">
        <v>1</v>
      </c>
    </row>
    <row r="47" spans="1:23" ht="18" customHeight="1" x14ac:dyDescent="0.35">
      <c r="A47" s="2" t="s">
        <v>1</v>
      </c>
      <c r="B47" s="2" t="s">
        <v>1</v>
      </c>
      <c r="C47" s="2" t="s">
        <v>1</v>
      </c>
      <c r="D47" s="2" t="s">
        <v>1</v>
      </c>
      <c r="E47" s="2" t="s">
        <v>1</v>
      </c>
      <c r="F47" s="2" t="s">
        <v>1</v>
      </c>
      <c r="G47" s="2" t="s">
        <v>1</v>
      </c>
      <c r="H47" s="2" t="s">
        <v>1</v>
      </c>
      <c r="I47" s="2" t="s">
        <v>1</v>
      </c>
      <c r="J47" s="2" t="s">
        <v>1</v>
      </c>
      <c r="K47" s="2" t="s">
        <v>1</v>
      </c>
      <c r="L47" s="2" t="s">
        <v>1</v>
      </c>
    </row>
    <row r="48" spans="1:23" ht="18" customHeight="1" x14ac:dyDescent="0.35">
      <c r="A48" s="2" t="s">
        <v>92</v>
      </c>
      <c r="B48" s="14">
        <v>0.13</v>
      </c>
      <c r="C48" s="12"/>
      <c r="D48" s="12"/>
      <c r="E48" s="12"/>
      <c r="F48" s="12"/>
      <c r="G48" s="12"/>
      <c r="H48" s="12"/>
      <c r="I48" s="12"/>
      <c r="J48" s="12"/>
      <c r="K48" s="12"/>
    </row>
    <row r="49" spans="1:22" ht="18" customHeight="1" x14ac:dyDescent="0.35">
      <c r="A49" s="2" t="s">
        <v>45</v>
      </c>
      <c r="B49" s="24">
        <f>NPV($B$48, B46:L46)</f>
        <v>5729153.9316997845</v>
      </c>
      <c r="C49" s="12"/>
      <c r="D49" s="12"/>
      <c r="E49" s="12"/>
      <c r="F49" s="12"/>
      <c r="G49" s="12"/>
      <c r="H49" s="12"/>
      <c r="I49" s="12"/>
      <c r="J49" s="12"/>
      <c r="K49" s="12"/>
    </row>
    <row r="50" spans="1:22" ht="18" customHeight="1" x14ac:dyDescent="0.35">
      <c r="A50" s="8" t="s">
        <v>46</v>
      </c>
      <c r="B50" s="25">
        <f>IRR(B46:L46, $B$48)</f>
        <v>0.19234671063954689</v>
      </c>
    </row>
    <row r="51" spans="1:22" ht="18" customHeight="1" x14ac:dyDescent="0.35">
      <c r="B51" s="26"/>
    </row>
    <row r="52" spans="1:22" ht="18" customHeight="1" x14ac:dyDescent="0.35">
      <c r="A52" s="2" t="s">
        <v>47</v>
      </c>
      <c r="B52" s="33">
        <v>1</v>
      </c>
      <c r="C52" s="33">
        <v>2</v>
      </c>
      <c r="D52" s="33">
        <v>3</v>
      </c>
      <c r="E52" s="33">
        <v>4</v>
      </c>
      <c r="F52" s="33">
        <v>5</v>
      </c>
      <c r="G52" s="33">
        <v>6</v>
      </c>
      <c r="H52" s="33">
        <v>7</v>
      </c>
      <c r="I52" s="33">
        <v>8</v>
      </c>
      <c r="J52" s="33">
        <v>9</v>
      </c>
      <c r="K52" s="33">
        <v>10</v>
      </c>
      <c r="L52" s="33">
        <v>11</v>
      </c>
    </row>
    <row r="53" spans="1:22" ht="18" customHeight="1" x14ac:dyDescent="0.35">
      <c r="A53" s="2" t="s">
        <v>48</v>
      </c>
      <c r="B53" s="12">
        <f>B93</f>
        <v>203111.7255</v>
      </c>
      <c r="C53" s="12">
        <f t="shared" ref="C53:K53" si="15">C93</f>
        <v>200117.94308503135</v>
      </c>
      <c r="D53" s="12">
        <f t="shared" si="15"/>
        <v>220667.85352302133</v>
      </c>
      <c r="E53" s="12">
        <f t="shared" si="15"/>
        <v>241085.79981313646</v>
      </c>
      <c r="F53" s="12">
        <f t="shared" si="15"/>
        <v>259168.54907378179</v>
      </c>
      <c r="G53" s="12">
        <f t="shared" si="15"/>
        <v>277194.08357223001</v>
      </c>
      <c r="H53" s="12">
        <f t="shared" si="15"/>
        <v>293212.88157316449</v>
      </c>
      <c r="I53" s="12">
        <f t="shared" si="15"/>
        <v>306951.65709928708</v>
      </c>
      <c r="J53" s="12">
        <f t="shared" si="15"/>
        <v>319147.35370474635</v>
      </c>
      <c r="K53" s="12">
        <f t="shared" si="15"/>
        <v>327861.87229769636</v>
      </c>
      <c r="L53" s="12">
        <v>0</v>
      </c>
      <c r="M53" s="12" t="s">
        <v>1</v>
      </c>
      <c r="N53" s="12" t="s">
        <v>1</v>
      </c>
      <c r="O53" s="12" t="s">
        <v>1</v>
      </c>
      <c r="P53" s="12" t="s">
        <v>1</v>
      </c>
      <c r="Q53" s="12" t="s">
        <v>1</v>
      </c>
      <c r="R53" s="12" t="s">
        <v>1</v>
      </c>
      <c r="S53" s="12" t="s">
        <v>1</v>
      </c>
      <c r="T53" s="12" t="s">
        <v>1</v>
      </c>
      <c r="U53" s="12" t="s">
        <v>1</v>
      </c>
      <c r="V53" s="12" t="s">
        <v>1</v>
      </c>
    </row>
    <row r="54" spans="1:22" ht="18" customHeight="1" x14ac:dyDescent="0.35">
      <c r="A54" s="2" t="s">
        <v>49</v>
      </c>
      <c r="B54" s="23">
        <f>B92</f>
        <v>5979150</v>
      </c>
      <c r="C54" s="23">
        <f t="shared" ref="C54:K54" si="16">C92</f>
        <v>-88130.185898399912</v>
      </c>
      <c r="D54" s="23">
        <f t="shared" si="16"/>
        <v>604942.9036794221</v>
      </c>
      <c r="E54" s="23">
        <f t="shared" si="16"/>
        <v>601058.17751295678</v>
      </c>
      <c r="F54" s="23">
        <f t="shared" si="16"/>
        <v>532315.25642170571</v>
      </c>
      <c r="G54" s="23">
        <f t="shared" si="16"/>
        <v>530630.98317480739</v>
      </c>
      <c r="H54" s="23">
        <f t="shared" si="16"/>
        <v>471557.19755473826</v>
      </c>
      <c r="I54" s="23">
        <f t="shared" si="16"/>
        <v>404438.49061297067</v>
      </c>
      <c r="J54" s="23">
        <f t="shared" si="16"/>
        <v>359013.73580981046</v>
      </c>
      <c r="K54" s="23">
        <f t="shared" si="16"/>
        <v>256535.72543273494</v>
      </c>
      <c r="L54" s="23">
        <f>L92</f>
        <v>-9651512.2843007464</v>
      </c>
      <c r="M54" s="23" t="s">
        <v>1</v>
      </c>
      <c r="N54" s="23" t="s">
        <v>1</v>
      </c>
      <c r="O54" s="23" t="s">
        <v>1</v>
      </c>
      <c r="P54" s="23" t="s">
        <v>1</v>
      </c>
      <c r="Q54" s="23" t="s">
        <v>1</v>
      </c>
      <c r="R54" s="23" t="s">
        <v>1</v>
      </c>
      <c r="S54" s="23" t="s">
        <v>1</v>
      </c>
      <c r="T54" s="23" t="s">
        <v>1</v>
      </c>
      <c r="U54" s="23" t="s">
        <v>1</v>
      </c>
      <c r="V54" s="23" t="s">
        <v>1</v>
      </c>
    </row>
    <row r="55" spans="1:22" ht="18" customHeight="1" x14ac:dyDescent="0.35">
      <c r="A55" s="2" t="s">
        <v>50</v>
      </c>
      <c r="B55" s="12">
        <f>B46-B54+B53</f>
        <v>-29458632.125499997</v>
      </c>
      <c r="C55" s="12">
        <f t="shared" ref="C55:L55" si="17">C46-C54+C53</f>
        <v>4625853.2076559728</v>
      </c>
      <c r="D55" s="12">
        <f t="shared" si="17"/>
        <v>4539168.9139071768</v>
      </c>
      <c r="E55" s="12">
        <f t="shared" si="17"/>
        <v>5012668.5842398079</v>
      </c>
      <c r="F55" s="12">
        <f t="shared" si="17"/>
        <v>5560568.8429494882</v>
      </c>
      <c r="G55" s="12">
        <f t="shared" si="17"/>
        <v>6163141.490838659</v>
      </c>
      <c r="H55" s="12">
        <f t="shared" si="17"/>
        <v>6659720.4570877906</v>
      </c>
      <c r="I55" s="12">
        <f t="shared" si="17"/>
        <v>7024458.6234337436</v>
      </c>
      <c r="J55" s="12">
        <f t="shared" si="17"/>
        <v>7430439.502568163</v>
      </c>
      <c r="K55" s="12">
        <f t="shared" si="17"/>
        <v>7750663.3934745211</v>
      </c>
      <c r="L55" s="12">
        <f t="shared" si="17"/>
        <v>9651512.2843007464</v>
      </c>
      <c r="M55" s="12" t="s">
        <v>1</v>
      </c>
      <c r="N55" s="12" t="s">
        <v>1</v>
      </c>
      <c r="O55" s="12" t="s">
        <v>1</v>
      </c>
      <c r="P55" s="12" t="s">
        <v>1</v>
      </c>
      <c r="Q55" s="12" t="s">
        <v>1</v>
      </c>
      <c r="R55" s="12" t="s">
        <v>1</v>
      </c>
      <c r="S55" s="12" t="s">
        <v>1</v>
      </c>
      <c r="T55" s="12" t="s">
        <v>1</v>
      </c>
      <c r="U55" s="12" t="s">
        <v>1</v>
      </c>
      <c r="V55" s="12" t="s">
        <v>1</v>
      </c>
    </row>
    <row r="56" spans="1:22" ht="18" customHeight="1" x14ac:dyDescent="0.35">
      <c r="A56" s="2" t="s">
        <v>51</v>
      </c>
      <c r="B56" s="25">
        <f>IRR(B55:L55,B48)</f>
        <v>0.15057226567012472</v>
      </c>
      <c r="C56" s="25"/>
      <c r="D56" s="25" t="s">
        <v>1</v>
      </c>
      <c r="E56" s="25" t="s">
        <v>1</v>
      </c>
      <c r="F56" s="25" t="s">
        <v>1</v>
      </c>
      <c r="G56" s="25" t="s">
        <v>1</v>
      </c>
      <c r="H56" s="25" t="s">
        <v>1</v>
      </c>
      <c r="I56" s="25" t="s">
        <v>1</v>
      </c>
      <c r="J56" s="25" t="s">
        <v>1</v>
      </c>
      <c r="K56" s="25" t="s">
        <v>1</v>
      </c>
      <c r="L56" s="25" t="s">
        <v>1</v>
      </c>
      <c r="M56" s="25" t="s">
        <v>1</v>
      </c>
      <c r="N56" s="25" t="s">
        <v>1</v>
      </c>
      <c r="O56" s="25" t="s">
        <v>1</v>
      </c>
      <c r="P56" s="25" t="s">
        <v>1</v>
      </c>
      <c r="Q56" s="25" t="s">
        <v>1</v>
      </c>
      <c r="R56" s="25" t="s">
        <v>1</v>
      </c>
      <c r="S56" s="25" t="s">
        <v>1</v>
      </c>
      <c r="T56" s="25" t="s">
        <v>1</v>
      </c>
      <c r="U56" s="25" t="s">
        <v>1</v>
      </c>
      <c r="V56" s="25" t="s">
        <v>1</v>
      </c>
    </row>
    <row r="57" spans="1:22" ht="18" customHeight="1" x14ac:dyDescent="0.35">
      <c r="A57" s="2" t="s">
        <v>52</v>
      </c>
      <c r="B57" s="42">
        <f>NPV(B48,B55,C55,D55,E55,F55,G55,H55,I55,J55,K55,L55)</f>
        <v>2497662.7441898384</v>
      </c>
      <c r="C57" s="27" t="s">
        <v>1</v>
      </c>
      <c r="D57" s="27" t="s">
        <v>1</v>
      </c>
      <c r="E57" s="27" t="s">
        <v>1</v>
      </c>
      <c r="F57" s="27" t="s">
        <v>1</v>
      </c>
      <c r="G57" s="27" t="s">
        <v>1</v>
      </c>
      <c r="H57" s="27" t="s">
        <v>1</v>
      </c>
      <c r="I57" s="27" t="s">
        <v>1</v>
      </c>
      <c r="J57" s="27" t="s">
        <v>1</v>
      </c>
      <c r="K57" s="27" t="s">
        <v>1</v>
      </c>
      <c r="L57" s="27" t="s">
        <v>1</v>
      </c>
      <c r="M57" s="27" t="s">
        <v>1</v>
      </c>
      <c r="N57" s="27" t="s">
        <v>1</v>
      </c>
      <c r="O57" s="27" t="s">
        <v>1</v>
      </c>
      <c r="P57" s="27" t="s">
        <v>1</v>
      </c>
      <c r="Q57" s="27" t="s">
        <v>1</v>
      </c>
      <c r="R57" s="27" t="s">
        <v>1</v>
      </c>
      <c r="S57" s="27" t="s">
        <v>1</v>
      </c>
      <c r="T57" s="27" t="s">
        <v>1</v>
      </c>
      <c r="U57" s="27" t="s">
        <v>1</v>
      </c>
      <c r="V57" s="27" t="s">
        <v>1</v>
      </c>
    </row>
    <row r="58" spans="1:22" ht="18" customHeight="1" x14ac:dyDescent="0.35">
      <c r="B58" s="24"/>
      <c r="C58" s="28"/>
      <c r="D58" s="28"/>
    </row>
    <row r="59" spans="1:22" ht="18" customHeight="1" x14ac:dyDescent="0.55000000000000004">
      <c r="A59" s="36" t="s">
        <v>86</v>
      </c>
      <c r="E59" s="20" t="s">
        <v>53</v>
      </c>
      <c r="F59" s="7">
        <v>4.22</v>
      </c>
      <c r="G59" s="22" t="s">
        <v>54</v>
      </c>
      <c r="H59" s="34"/>
    </row>
    <row r="60" spans="1:22" ht="18" customHeight="1" x14ac:dyDescent="0.35">
      <c r="A60" s="36" t="s">
        <v>55</v>
      </c>
    </row>
    <row r="61" spans="1:22" ht="18" customHeight="1" x14ac:dyDescent="0.35">
      <c r="A61" s="2" t="s">
        <v>56</v>
      </c>
      <c r="B61" s="11">
        <v>0.03</v>
      </c>
    </row>
    <row r="62" spans="1:22" ht="18" customHeight="1" x14ac:dyDescent="0.35">
      <c r="A62" s="2" t="s">
        <v>57</v>
      </c>
      <c r="B62" s="18">
        <f>B19</f>
        <v>40</v>
      </c>
      <c r="C62" s="15">
        <f t="shared" ref="C62:K62" si="18">B62+1</f>
        <v>41</v>
      </c>
      <c r="D62" s="15">
        <f t="shared" si="18"/>
        <v>42</v>
      </c>
      <c r="E62" s="15">
        <f t="shared" si="18"/>
        <v>43</v>
      </c>
      <c r="F62" s="15">
        <f t="shared" si="18"/>
        <v>44</v>
      </c>
      <c r="G62" s="15">
        <f t="shared" si="18"/>
        <v>45</v>
      </c>
      <c r="H62" s="15">
        <f t="shared" si="18"/>
        <v>46</v>
      </c>
      <c r="I62" s="15">
        <f t="shared" si="18"/>
        <v>47</v>
      </c>
      <c r="J62" s="15">
        <f t="shared" si="18"/>
        <v>48</v>
      </c>
      <c r="K62" s="15">
        <f t="shared" si="18"/>
        <v>49</v>
      </c>
    </row>
    <row r="63" spans="1:22" ht="18" customHeight="1" x14ac:dyDescent="0.35">
      <c r="A63" s="36" t="s">
        <v>58</v>
      </c>
      <c r="B63" s="2">
        <v>8.5999999999999998E-4</v>
      </c>
      <c r="C63" s="2">
        <v>1.06E-3</v>
      </c>
      <c r="D63" s="2">
        <v>1.2999999999999999E-3</v>
      </c>
      <c r="E63" s="2">
        <v>1.58E-3</v>
      </c>
      <c r="F63" s="2">
        <v>1.89E-3</v>
      </c>
      <c r="G63" s="2">
        <v>2.2499999999999998E-3</v>
      </c>
      <c r="H63" s="2">
        <v>2.65E-3</v>
      </c>
      <c r="I63" s="2">
        <v>3.0899999999999999E-3</v>
      </c>
      <c r="J63" s="2">
        <v>3.5799999999999998E-3</v>
      </c>
      <c r="K63" s="2">
        <v>4.1000000000000003E-3</v>
      </c>
    </row>
    <row r="64" spans="1:22" ht="18" customHeight="1" x14ac:dyDescent="0.35"/>
    <row r="65" spans="1:18" ht="18" customHeight="1" x14ac:dyDescent="0.35">
      <c r="A65" s="2" t="s">
        <v>59</v>
      </c>
    </row>
    <row r="66" spans="1:18" ht="18" customHeight="1" x14ac:dyDescent="0.35">
      <c r="A66" s="2" t="s">
        <v>13</v>
      </c>
      <c r="B66" s="15">
        <v>1</v>
      </c>
      <c r="C66" s="15">
        <v>2</v>
      </c>
      <c r="D66" s="15">
        <v>3</v>
      </c>
      <c r="E66" s="15">
        <v>4</v>
      </c>
      <c r="F66" s="15">
        <v>5</v>
      </c>
      <c r="G66" s="15">
        <v>6</v>
      </c>
      <c r="H66" s="15">
        <v>7</v>
      </c>
      <c r="I66" s="15">
        <v>8</v>
      </c>
      <c r="J66" s="15">
        <v>9</v>
      </c>
      <c r="K66" s="15">
        <v>10</v>
      </c>
    </row>
    <row r="67" spans="1:18" ht="18" customHeight="1" x14ac:dyDescent="0.35">
      <c r="A67" s="2" t="s">
        <v>60</v>
      </c>
      <c r="B67" s="17">
        <v>0</v>
      </c>
      <c r="C67" s="17">
        <v>0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f>K16</f>
        <v>1</v>
      </c>
    </row>
    <row r="68" spans="1:18" ht="18" customHeight="1" x14ac:dyDescent="0.35"/>
    <row r="69" spans="1:18" ht="18" customHeight="1" x14ac:dyDescent="0.35">
      <c r="A69" s="2" t="s">
        <v>87</v>
      </c>
      <c r="B69" s="15">
        <v>1</v>
      </c>
      <c r="C69" s="15">
        <v>2</v>
      </c>
      <c r="D69" s="15">
        <v>3</v>
      </c>
      <c r="E69" s="15">
        <v>4</v>
      </c>
      <c r="F69" s="15">
        <v>5</v>
      </c>
      <c r="G69" s="15">
        <v>6</v>
      </c>
      <c r="H69" s="15">
        <v>7</v>
      </c>
      <c r="I69" s="15">
        <v>8</v>
      </c>
      <c r="J69" s="15">
        <v>9</v>
      </c>
      <c r="K69" s="15">
        <v>10</v>
      </c>
      <c r="L69" s="15">
        <v>11</v>
      </c>
    </row>
    <row r="70" spans="1:18" ht="18" customHeight="1" x14ac:dyDescent="0.35">
      <c r="A70" s="36" t="s">
        <v>28</v>
      </c>
      <c r="B70" s="9">
        <f>B27</f>
        <v>100000</v>
      </c>
      <c r="C70" s="9">
        <f>B70*(1-B63)*(1-B67)</f>
        <v>99914</v>
      </c>
      <c r="D70" s="9">
        <f t="shared" ref="D70:L70" si="19">C70*(1-C63)*(1-C67)</f>
        <v>99808.091160000011</v>
      </c>
      <c r="E70" s="9">
        <f t="shared" si="19"/>
        <v>99678.340641492017</v>
      </c>
      <c r="F70" s="9">
        <f t="shared" si="19"/>
        <v>99520.848863278457</v>
      </c>
      <c r="G70" s="9">
        <f t="shared" si="19"/>
        <v>99332.754458926865</v>
      </c>
      <c r="H70" s="9">
        <f t="shared" si="19"/>
        <v>99109.255761394277</v>
      </c>
      <c r="I70" s="9">
        <f t="shared" si="19"/>
        <v>98846.616233626584</v>
      </c>
      <c r="J70" s="9">
        <f t="shared" si="19"/>
        <v>98541.180189464678</v>
      </c>
      <c r="K70" s="9">
        <f t="shared" si="19"/>
        <v>98188.402764386396</v>
      </c>
      <c r="L70" s="9">
        <f t="shared" si="19"/>
        <v>0</v>
      </c>
    </row>
    <row r="71" spans="1:18" ht="18" customHeight="1" x14ac:dyDescent="0.35">
      <c r="A71" s="2" t="s">
        <v>61</v>
      </c>
      <c r="B71" s="29">
        <f>B70*(B4/1000)*B14</f>
        <v>32100000.000000004</v>
      </c>
      <c r="C71" s="29">
        <f>C70*(B4/1000)*C14</f>
        <v>39865686</v>
      </c>
      <c r="D71" s="29">
        <f>D70*(B4/1000)*D14</f>
        <v>48506732.303760014</v>
      </c>
      <c r="E71" s="29">
        <f>E70*(B4/1000)*E14</f>
        <v>58311829.275272831</v>
      </c>
      <c r="F71" s="29">
        <f>F70*(B4/1000)*F14</f>
        <v>69266510.808841795</v>
      </c>
      <c r="G71" s="29">
        <f>G70*(B4/1000)*G14</f>
        <v>82247520.691991434</v>
      </c>
      <c r="H71" s="29">
        <f>H70*(B4/1000)*H14</f>
        <v>96334196.600075245</v>
      </c>
      <c r="I71" s="29">
        <f>I70*(B4/1000)*I14</f>
        <v>111498983.11153078</v>
      </c>
      <c r="J71" s="29">
        <f>J70*(B4/1000)*J14</f>
        <v>128596240.1472514</v>
      </c>
      <c r="K71" s="29">
        <f>K70*(B4/1000)*K14</f>
        <v>146398908.52170011</v>
      </c>
      <c r="L71" s="29">
        <f>L70*(B4/1000)*L14</f>
        <v>0</v>
      </c>
      <c r="M71" s="29" t="s">
        <v>1</v>
      </c>
      <c r="N71" s="29" t="s">
        <v>1</v>
      </c>
      <c r="O71" s="29" t="s">
        <v>1</v>
      </c>
      <c r="P71" s="29" t="s">
        <v>1</v>
      </c>
      <c r="Q71" s="29" t="s">
        <v>1</v>
      </c>
      <c r="R71" s="29" t="s">
        <v>1</v>
      </c>
    </row>
    <row r="72" spans="1:18" ht="18" customHeight="1" x14ac:dyDescent="0.35">
      <c r="A72" s="2" t="s">
        <v>62</v>
      </c>
      <c r="B72" s="29">
        <f>(B3*B8)+(B28/1000)*B9</f>
        <v>12500000</v>
      </c>
      <c r="C72" s="29" t="s">
        <v>1</v>
      </c>
      <c r="D72" s="29" t="s">
        <v>1</v>
      </c>
      <c r="E72" s="29" t="s">
        <v>1</v>
      </c>
      <c r="F72" s="29" t="s">
        <v>1</v>
      </c>
      <c r="G72" s="29" t="s">
        <v>1</v>
      </c>
      <c r="H72" s="29" t="s">
        <v>1</v>
      </c>
      <c r="I72" s="29" t="s">
        <v>1</v>
      </c>
      <c r="J72" s="29" t="s">
        <v>1</v>
      </c>
      <c r="K72" s="29" t="s">
        <v>1</v>
      </c>
      <c r="L72" s="29" t="s">
        <v>1</v>
      </c>
      <c r="M72" s="29" t="s">
        <v>1</v>
      </c>
      <c r="N72" s="29" t="s">
        <v>1</v>
      </c>
      <c r="O72" s="29" t="s">
        <v>1</v>
      </c>
      <c r="P72" s="29" t="s">
        <v>1</v>
      </c>
      <c r="Q72" s="29" t="s">
        <v>1</v>
      </c>
      <c r="R72" s="29" t="s">
        <v>1</v>
      </c>
    </row>
    <row r="73" spans="1:18" ht="18" customHeight="1" x14ac:dyDescent="0.35">
      <c r="A73" s="2" t="s">
        <v>63</v>
      </c>
      <c r="B73" s="12">
        <f>(B70*B10)+(B76/1000)*B11</f>
        <v>2500000</v>
      </c>
      <c r="C73" s="12">
        <f>(C70*B10)+(C76/1000)*B11</f>
        <v>2497850</v>
      </c>
      <c r="D73" s="12">
        <f>(D70*B10)+(D76/1000)*B11</f>
        <v>2495202.2790000006</v>
      </c>
      <c r="E73" s="12">
        <f>(E70*B10)+(E76/1000)*B11</f>
        <v>2491958.5160373007</v>
      </c>
      <c r="F73" s="12">
        <f>(F70*B10)+(F76/1000)*B11</f>
        <v>2488021.2215819615</v>
      </c>
      <c r="G73" s="12">
        <f>(G70*B10)+(G76/1000)*B11</f>
        <v>2483318.8614731715</v>
      </c>
      <c r="H73" s="12">
        <f>(H70*B10)+(H76/1000)*B11</f>
        <v>2477731.3940348569</v>
      </c>
      <c r="I73" s="12">
        <f>(I70*B10)+(I76/1000)*B11</f>
        <v>2471165.4058406646</v>
      </c>
      <c r="J73" s="12">
        <f>(J70*B10)+(J76/1000)*B11</f>
        <v>2463529.5047366172</v>
      </c>
      <c r="K73" s="12">
        <f>(K70*B10)+(K76/1000)*B11</f>
        <v>2454710.0691096601</v>
      </c>
      <c r="L73" s="12">
        <f t="shared" ref="L73" si="20">(L70*L10)+(L76/1000)*L11</f>
        <v>0</v>
      </c>
      <c r="M73" s="12" t="s">
        <v>1</v>
      </c>
      <c r="N73" s="12" t="s">
        <v>1</v>
      </c>
      <c r="O73" s="12" t="s">
        <v>1</v>
      </c>
      <c r="P73" s="12" t="s">
        <v>1</v>
      </c>
      <c r="Q73" s="12" t="s">
        <v>1</v>
      </c>
      <c r="R73" s="12" t="s">
        <v>1</v>
      </c>
    </row>
    <row r="74" spans="1:18" ht="18" customHeight="1" x14ac:dyDescent="0.35">
      <c r="A74" s="2" t="s">
        <v>64</v>
      </c>
      <c r="B74" s="12">
        <f>B71*B17</f>
        <v>22470000</v>
      </c>
      <c r="C74" s="12">
        <f>C71*C18</f>
        <v>1993284.3</v>
      </c>
      <c r="D74" s="12">
        <f t="shared" ref="D74:L74" si="21">D71*D18</f>
        <v>2425336.6151880007</v>
      </c>
      <c r="E74" s="12">
        <f t="shared" si="21"/>
        <v>2915591.4637636417</v>
      </c>
      <c r="F74" s="12">
        <f t="shared" si="21"/>
        <v>3463325.54044209</v>
      </c>
      <c r="G74" s="12">
        <f t="shared" si="21"/>
        <v>4112376.034599572</v>
      </c>
      <c r="H74" s="12">
        <f t="shared" si="21"/>
        <v>4816709.8300037626</v>
      </c>
      <c r="I74" s="12">
        <f t="shared" si="21"/>
        <v>5574949.1555765392</v>
      </c>
      <c r="J74" s="12">
        <f t="shared" si="21"/>
        <v>6429812.0073625706</v>
      </c>
      <c r="K74" s="12">
        <f t="shared" si="21"/>
        <v>7319945.4260850064</v>
      </c>
      <c r="L74" s="12">
        <f t="shared" si="21"/>
        <v>0</v>
      </c>
      <c r="M74" s="12" t="s">
        <v>1</v>
      </c>
      <c r="N74" s="12" t="s">
        <v>1</v>
      </c>
      <c r="O74" s="12" t="s">
        <v>1</v>
      </c>
      <c r="P74" s="12" t="s">
        <v>1</v>
      </c>
      <c r="Q74" s="12" t="s">
        <v>1</v>
      </c>
      <c r="R74" s="12" t="s">
        <v>1</v>
      </c>
    </row>
    <row r="75" spans="1:18" ht="18" customHeight="1" x14ac:dyDescent="0.35">
      <c r="A75" s="2" t="s">
        <v>65</v>
      </c>
      <c r="B75" s="12">
        <f>B76*B63</f>
        <v>25800000</v>
      </c>
      <c r="C75" s="12">
        <f t="shared" ref="C75:L75" si="22">C76*C63</f>
        <v>31772652</v>
      </c>
      <c r="D75" s="12">
        <f t="shared" si="22"/>
        <v>38925155.5524</v>
      </c>
      <c r="E75" s="12">
        <f t="shared" si="22"/>
        <v>47247533.464067213</v>
      </c>
      <c r="F75" s="12">
        <f t="shared" si="22"/>
        <v>56428321.305478878</v>
      </c>
      <c r="G75" s="12">
        <f t="shared" si="22"/>
        <v>67049609.259775624</v>
      </c>
      <c r="H75" s="12">
        <f t="shared" si="22"/>
        <v>78791858.330308452</v>
      </c>
      <c r="I75" s="12">
        <f t="shared" si="22"/>
        <v>91630813.248571843</v>
      </c>
      <c r="J75" s="12">
        <f t="shared" si="22"/>
        <v>105833227.52348506</v>
      </c>
      <c r="K75" s="12">
        <f t="shared" si="22"/>
        <v>120771735.40019527</v>
      </c>
      <c r="L75" s="12">
        <f t="shared" si="22"/>
        <v>0</v>
      </c>
      <c r="M75" s="12" t="s">
        <v>1</v>
      </c>
      <c r="N75" s="12" t="s">
        <v>1</v>
      </c>
      <c r="O75" s="12" t="s">
        <v>1</v>
      </c>
      <c r="P75" s="12" t="s">
        <v>1</v>
      </c>
      <c r="Q75" s="12" t="s">
        <v>1</v>
      </c>
      <c r="R75" s="12" t="s">
        <v>1</v>
      </c>
    </row>
    <row r="76" spans="1:18" ht="18" customHeight="1" x14ac:dyDescent="0.35">
      <c r="A76" s="36" t="s">
        <v>66</v>
      </c>
      <c r="B76" s="40">
        <f>B70*B4</f>
        <v>30000000000</v>
      </c>
      <c r="C76" s="40">
        <f>C70*B4</f>
        <v>29974200000</v>
      </c>
      <c r="D76" s="40">
        <f>D70*B4</f>
        <v>29942427348.000004</v>
      </c>
      <c r="E76" s="40">
        <f>E70*B4</f>
        <v>29903502192.447605</v>
      </c>
      <c r="F76" s="40">
        <f>F70*B4</f>
        <v>29856254658.983536</v>
      </c>
      <c r="G76" s="40">
        <f>G70*B4</f>
        <v>29799826337.678059</v>
      </c>
      <c r="H76" s="40">
        <f>H70*B4</f>
        <v>29732776728.418282</v>
      </c>
      <c r="I76" s="40">
        <f>I70*B4</f>
        <v>29653984870.087975</v>
      </c>
      <c r="J76" s="40">
        <f>J70*B4</f>
        <v>29562354056.839405</v>
      </c>
      <c r="K76" s="40">
        <f>K70*B4</f>
        <v>29456520829.315918</v>
      </c>
      <c r="L76" s="10">
        <f>L70*B4</f>
        <v>0</v>
      </c>
      <c r="M76" s="10" t="s">
        <v>1</v>
      </c>
      <c r="N76" s="10" t="s">
        <v>1</v>
      </c>
      <c r="O76" s="10" t="s">
        <v>1</v>
      </c>
      <c r="P76" s="10" t="s">
        <v>1</v>
      </c>
      <c r="Q76" s="10" t="s">
        <v>1</v>
      </c>
      <c r="R76" s="10" t="s">
        <v>1</v>
      </c>
    </row>
    <row r="77" spans="1:18" ht="18" customHeight="1" x14ac:dyDescent="0.35">
      <c r="A77" s="36"/>
      <c r="B77" s="9"/>
      <c r="C77" s="9"/>
      <c r="D77" s="9"/>
      <c r="E77" s="9"/>
      <c r="F77" s="9"/>
      <c r="G77" s="8" t="s">
        <v>1</v>
      </c>
      <c r="H77" s="31" t="s">
        <v>0</v>
      </c>
      <c r="I77" s="9"/>
      <c r="J77" s="9"/>
      <c r="K77" s="9"/>
      <c r="L77" s="9"/>
    </row>
    <row r="78" spans="1:18" ht="18" customHeight="1" x14ac:dyDescent="0.35">
      <c r="A78" s="2" t="s">
        <v>67</v>
      </c>
      <c r="B78" s="32">
        <v>1</v>
      </c>
      <c r="C78" s="32">
        <v>2.2400000000000002</v>
      </c>
      <c r="D78" s="32">
        <v>2.9677720000000001</v>
      </c>
      <c r="E78" s="32">
        <v>4</v>
      </c>
      <c r="F78" s="32">
        <v>5</v>
      </c>
      <c r="G78" s="32">
        <v>6</v>
      </c>
      <c r="H78" s="32">
        <v>7</v>
      </c>
      <c r="I78" s="32">
        <v>8</v>
      </c>
      <c r="J78" s="32">
        <v>9</v>
      </c>
      <c r="K78" s="32">
        <f t="shared" ref="K78" si="23">J78+1</f>
        <v>10</v>
      </c>
    </row>
    <row r="79" spans="1:18" ht="18" customHeight="1" x14ac:dyDescent="0.35">
      <c r="A79" s="2" t="s">
        <v>68</v>
      </c>
    </row>
    <row r="80" spans="1:18" ht="18" customHeight="1" x14ac:dyDescent="0.35">
      <c r="A80" s="8" t="s">
        <v>69</v>
      </c>
      <c r="B80" s="29">
        <f>NPV(B61,C75:K75)*(1+B61)^0.5</f>
        <v>543318790.14868701</v>
      </c>
      <c r="C80" s="29">
        <f>NPV(B61,D75:L75)*(1+B61)^0.5</f>
        <v>527372633.86480653</v>
      </c>
      <c r="D80" s="29">
        <f>NPV(B61,E75:M75)*(1+B61)^0.5</f>
        <v>503689094.59518522</v>
      </c>
      <c r="E80" s="29">
        <f>NPV(B61,F75:N75)*(1+B61)^0.5</f>
        <v>470848758.04855251</v>
      </c>
      <c r="F80" s="29">
        <f>NPV(B61,G75:O75)*(1+B61)^0.5</f>
        <v>427705729.37706023</v>
      </c>
      <c r="G80" s="29">
        <f>NPV(B61,H75:P75)*(1+B61)^0.5</f>
        <v>372488979.87244546</v>
      </c>
      <c r="H80" s="29">
        <f>NPV(B61,I75:Q75)*(1+B61)^0.5</f>
        <v>303698646.62797785</v>
      </c>
      <c r="I80" s="29">
        <f>NPV(B61,J75:R75)*(1+B61)^0.5</f>
        <v>219814487.25872013</v>
      </c>
      <c r="J80" s="29">
        <f>NPV(B61,K75:S75)*(1+B61)^0.5</f>
        <v>118999926.86452341</v>
      </c>
      <c r="K80" s="29">
        <f>NPV(B61,L75:T75)*(1+B61)^0.5</f>
        <v>0</v>
      </c>
      <c r="L80" s="29" t="s">
        <v>1</v>
      </c>
    </row>
    <row r="81" spans="1:12" ht="18" customHeight="1" x14ac:dyDescent="0.35">
      <c r="A81" s="8" t="s">
        <v>70</v>
      </c>
      <c r="B81" s="29">
        <f>NPV(B61, C73:K73)*(1+B61)^(0.5)</f>
        <v>19608343.912753724</v>
      </c>
      <c r="C81" s="29">
        <f>NPV(B61, D73:L73)*(1+B61)^(0.5)</f>
        <v>17661553.350549776</v>
      </c>
      <c r="D81" s="29">
        <f>NPV(B61, E73:M73)*(1+B61)^(0.5)</f>
        <v>15659046.214812066</v>
      </c>
      <c r="E81" s="29">
        <f>NPV(B61, F73:N73)*(1+B61)^(0.5)</f>
        <v>13599755.924859362</v>
      </c>
      <c r="F81" s="29">
        <f>NPV(B61, G73:O73)*(1+B61)^(0.5)</f>
        <v>11482682.84365678</v>
      </c>
      <c r="G81" s="29">
        <f>NPV(B61, H73:P73)*(1+B61)^(0.5)</f>
        <v>9306869.9443025384</v>
      </c>
      <c r="H81" s="29">
        <f>NPV(B61, I73:Q73)*(1+B61)^(0.5)</f>
        <v>7071453.3180831587</v>
      </c>
      <c r="I81" s="29">
        <f>NPV(B61, J73:R73)*(1+B61)^(0.5)</f>
        <v>4775637.9432972521</v>
      </c>
      <c r="J81" s="29">
        <f>NPV(B61, K73:S73)*(1+B61)^(0.5)</f>
        <v>2418697.7004984436</v>
      </c>
      <c r="K81" s="29">
        <f t="shared" ref="K81" si="24">NPV(K61, L73:T73)*(1+K61)^(0.5)</f>
        <v>0</v>
      </c>
      <c r="L81" s="29" t="s">
        <v>1</v>
      </c>
    </row>
    <row r="82" spans="1:12" ht="18" customHeight="1" x14ac:dyDescent="0.35">
      <c r="A82" s="8" t="s">
        <v>71</v>
      </c>
      <c r="B82" s="41">
        <f>NPV(B61,C74:K74)*(1+B61)</f>
        <v>33749757.391754448</v>
      </c>
      <c r="C82" s="41">
        <f>NPV(B61,D74:L74)*(1+B61)</f>
        <v>32709167.284507081</v>
      </c>
      <c r="D82" s="41">
        <f>NPV(B61,E74:M74)*(1+B61)</f>
        <v>31192345.589398652</v>
      </c>
      <c r="E82" s="41">
        <f>NPV(B61,F74:N74)*(1+B61)</f>
        <v>29125056.749404062</v>
      </c>
      <c r="F82" s="41">
        <f>NPV(B61,G74:O74)*(1+B61)</f>
        <v>26431583.145230826</v>
      </c>
      <c r="G82" s="41">
        <f>NPV(B61,H74:P74)*(1+B61)</f>
        <v>22988783.323950194</v>
      </c>
      <c r="H82" s="41">
        <f>NPV(B61,I74:Q74)*(1+B61)</f>
        <v>18717235.698764827</v>
      </c>
      <c r="I82" s="41">
        <f>NPV(B61,J74:R74)*(1+B61)</f>
        <v>13536555.139483936</v>
      </c>
      <c r="J82" s="41">
        <f>NPV(B61,K74:S74)*(1+B61)</f>
        <v>7319945.4260850064</v>
      </c>
      <c r="K82" s="41">
        <f>NPV(B61,L74:T74)*(1+B61)</f>
        <v>0</v>
      </c>
      <c r="L82" s="29" t="s">
        <v>1</v>
      </c>
    </row>
    <row r="83" spans="1:12" ht="18" customHeight="1" x14ac:dyDescent="0.35">
      <c r="A83" s="8" t="s">
        <v>72</v>
      </c>
      <c r="B83" s="29">
        <f>NPV(B61,C71:K71)*(1+B61)</f>
        <v>674995147.83508885</v>
      </c>
      <c r="C83" s="29">
        <f>NPV(B61,D71:L71)*(1+B61)</f>
        <v>654183345.69014156</v>
      </c>
      <c r="D83" s="29">
        <f>NPV(B61,E71:M71)*(1+B61)</f>
        <v>623846911.78797293</v>
      </c>
      <c r="E83" s="29">
        <f>NPV(B61,F71:N71)*(1+B61)</f>
        <v>582501134.9880811</v>
      </c>
      <c r="F83" s="29">
        <f>NPV(B61,G71:O71)*(1+B61)</f>
        <v>528631662.90461653</v>
      </c>
      <c r="G83" s="29">
        <f>NPV(B61,H71:P71)*(1+B61)</f>
        <v>459775666.47900391</v>
      </c>
      <c r="H83" s="29">
        <f>NPV(B61,I71:Q71)*(1+B61)</f>
        <v>374344713.9752965</v>
      </c>
      <c r="I83" s="29">
        <f>NPV(B61,J71:R71)*(1+B61)</f>
        <v>270731102.78967869</v>
      </c>
      <c r="J83" s="29">
        <f>NPV(B61,K71:S71)*(1+B61)</f>
        <v>146398908.52170011</v>
      </c>
      <c r="K83" s="29">
        <f>NPV(B61,L71:T71)*(1+B61)</f>
        <v>0</v>
      </c>
      <c r="L83" s="29" t="s">
        <v>1</v>
      </c>
    </row>
    <row r="84" spans="1:12" ht="18" customHeight="1" x14ac:dyDescent="0.35">
      <c r="A84" s="2" t="s">
        <v>73</v>
      </c>
      <c r="B84" s="29">
        <f>MAX(0,B80+B81+B82-B83)</f>
        <v>0</v>
      </c>
      <c r="C84" s="29">
        <f t="shared" ref="C84:K84" si="25">MAX(0,C80+C81+C82-C83)</f>
        <v>0</v>
      </c>
      <c r="D84" s="29">
        <f t="shared" si="25"/>
        <v>0</v>
      </c>
      <c r="E84" s="29">
        <f t="shared" si="25"/>
        <v>0</v>
      </c>
      <c r="F84" s="29">
        <f t="shared" si="25"/>
        <v>0</v>
      </c>
      <c r="G84" s="29">
        <f t="shared" si="25"/>
        <v>0</v>
      </c>
      <c r="H84" s="29">
        <f t="shared" si="25"/>
        <v>0</v>
      </c>
      <c r="I84" s="29">
        <f t="shared" si="25"/>
        <v>0</v>
      </c>
      <c r="J84" s="29">
        <f t="shared" si="25"/>
        <v>0</v>
      </c>
      <c r="K84" s="29">
        <f t="shared" si="25"/>
        <v>0</v>
      </c>
      <c r="L84" s="29" t="s">
        <v>1</v>
      </c>
    </row>
    <row r="85" spans="1:12" ht="18" customHeight="1" x14ac:dyDescent="0.35">
      <c r="A85" s="2" t="s">
        <v>74</v>
      </c>
      <c r="B85" s="29">
        <f>C76</f>
        <v>29974200000</v>
      </c>
      <c r="C85" s="29">
        <f t="shared" ref="C85:K85" si="26">D76</f>
        <v>29942427348.000004</v>
      </c>
      <c r="D85" s="29">
        <f t="shared" si="26"/>
        <v>29903502192.447605</v>
      </c>
      <c r="E85" s="29">
        <f t="shared" si="26"/>
        <v>29856254658.983536</v>
      </c>
      <c r="F85" s="29">
        <f t="shared" si="26"/>
        <v>29799826337.678059</v>
      </c>
      <c r="G85" s="29">
        <f t="shared" si="26"/>
        <v>29732776728.418282</v>
      </c>
      <c r="H85" s="29">
        <f t="shared" si="26"/>
        <v>29653984870.087975</v>
      </c>
      <c r="I85" s="29">
        <f t="shared" si="26"/>
        <v>29562354056.839405</v>
      </c>
      <c r="J85" s="29">
        <f t="shared" si="26"/>
        <v>29456520829.315918</v>
      </c>
      <c r="K85" s="29">
        <f t="shared" si="26"/>
        <v>0</v>
      </c>
      <c r="L85" s="29" t="s">
        <v>1</v>
      </c>
    </row>
    <row r="86" spans="1:12" ht="18" customHeight="1" x14ac:dyDescent="0.35">
      <c r="A86" s="2" t="s">
        <v>75</v>
      </c>
      <c r="B86" s="29">
        <f>C28</f>
        <v>23980866720</v>
      </c>
      <c r="C86" s="29">
        <f t="shared" ref="C86:K86" si="27">D28</f>
        <v>21561572376.669231</v>
      </c>
      <c r="D86" s="29">
        <f t="shared" si="27"/>
        <v>19382029673.2183</v>
      </c>
      <c r="E86" s="29">
        <f t="shared" si="27"/>
        <v>17418277430.673412</v>
      </c>
      <c r="F86" s="29">
        <f t="shared" si="27"/>
        <v>15648984077.459892</v>
      </c>
      <c r="G86" s="29">
        <f t="shared" si="27"/>
        <v>14054709788.028299</v>
      </c>
      <c r="H86" s="29">
        <f t="shared" si="27"/>
        <v>12618165321.628668</v>
      </c>
      <c r="I86" s="29">
        <f t="shared" si="27"/>
        <v>11323819323.302792</v>
      </c>
      <c r="J86" s="29">
        <f t="shared" si="27"/>
        <v>10157615475.360588</v>
      </c>
      <c r="K86" s="29" t="str">
        <f t="shared" si="27"/>
        <v xml:space="preserve"> </v>
      </c>
      <c r="L86" s="29" t="s">
        <v>1</v>
      </c>
    </row>
    <row r="87" spans="1:12" ht="18" customHeight="1" x14ac:dyDescent="0.35">
      <c r="A87" s="36" t="s">
        <v>76</v>
      </c>
      <c r="B87" s="12">
        <f>(B86/B85)*B84</f>
        <v>0</v>
      </c>
      <c r="C87" s="12">
        <f t="shared" ref="C87:J87" si="28">(C86/C85)*C84</f>
        <v>0</v>
      </c>
      <c r="D87" s="12">
        <f t="shared" si="28"/>
        <v>0</v>
      </c>
      <c r="E87" s="12">
        <f t="shared" si="28"/>
        <v>0</v>
      </c>
      <c r="F87" s="12">
        <f t="shared" si="28"/>
        <v>0</v>
      </c>
      <c r="G87" s="12">
        <f t="shared" si="28"/>
        <v>0</v>
      </c>
      <c r="H87" s="12">
        <f t="shared" si="28"/>
        <v>0</v>
      </c>
      <c r="I87" s="12">
        <f t="shared" si="28"/>
        <v>0</v>
      </c>
      <c r="J87" s="12">
        <f t="shared" si="28"/>
        <v>0</v>
      </c>
      <c r="K87" s="12">
        <v>0</v>
      </c>
      <c r="L87" s="12" t="s">
        <v>1</v>
      </c>
    </row>
    <row r="88" spans="1:12" ht="18" customHeight="1" x14ac:dyDescent="0.35">
      <c r="A88" s="2" t="s">
        <v>77</v>
      </c>
      <c r="B88" s="29">
        <f>B87</f>
        <v>0</v>
      </c>
      <c r="C88" s="29">
        <f>C87-B87</f>
        <v>0</v>
      </c>
      <c r="D88" s="29">
        <f>D87-C87</f>
        <v>0</v>
      </c>
      <c r="E88" s="29">
        <f t="shared" ref="E88:J88" si="29">E87-D87</f>
        <v>0</v>
      </c>
      <c r="F88" s="29">
        <f t="shared" si="29"/>
        <v>0</v>
      </c>
      <c r="G88" s="29">
        <f t="shared" si="29"/>
        <v>0</v>
      </c>
      <c r="H88" s="29">
        <f t="shared" si="29"/>
        <v>0</v>
      </c>
      <c r="I88" s="29">
        <f t="shared" si="29"/>
        <v>0</v>
      </c>
      <c r="J88" s="29">
        <f t="shared" si="29"/>
        <v>0</v>
      </c>
      <c r="K88" s="29">
        <f>K87-J87</f>
        <v>0</v>
      </c>
      <c r="L88" s="29" t="s">
        <v>1</v>
      </c>
    </row>
    <row r="89" spans="1:12" ht="18" customHeight="1" x14ac:dyDescent="0.35">
      <c r="B89" s="29"/>
      <c r="C89" s="29"/>
      <c r="D89" s="29"/>
      <c r="E89" s="29"/>
      <c r="F89" s="29"/>
      <c r="G89" s="29"/>
      <c r="H89" s="29"/>
      <c r="I89" s="29"/>
      <c r="J89" s="29"/>
      <c r="K89" s="29"/>
    </row>
    <row r="90" spans="1:12" ht="18" customHeight="1" x14ac:dyDescent="0.35">
      <c r="A90" s="2" t="s">
        <v>78</v>
      </c>
      <c r="B90" s="38">
        <v>1</v>
      </c>
      <c r="C90" s="38">
        <f>B90+1</f>
        <v>2</v>
      </c>
      <c r="D90" s="38">
        <f>C90+1</f>
        <v>3</v>
      </c>
      <c r="E90" s="38">
        <f t="shared" ref="E90:L90" si="30">D90+1</f>
        <v>4</v>
      </c>
      <c r="F90" s="38">
        <f t="shared" si="30"/>
        <v>5</v>
      </c>
      <c r="G90" s="38">
        <f t="shared" si="30"/>
        <v>6</v>
      </c>
      <c r="H90" s="38">
        <f t="shared" si="30"/>
        <v>7</v>
      </c>
      <c r="I90" s="38">
        <f t="shared" si="30"/>
        <v>8</v>
      </c>
      <c r="J90" s="38">
        <v>9</v>
      </c>
      <c r="K90" s="38">
        <f t="shared" si="30"/>
        <v>10</v>
      </c>
      <c r="L90" s="38">
        <f t="shared" si="30"/>
        <v>11</v>
      </c>
    </row>
    <row r="91" spans="1:12" ht="18" customHeight="1" x14ac:dyDescent="0.35">
      <c r="A91" s="2" t="s">
        <v>79</v>
      </c>
      <c r="B91" s="30">
        <f>B21*B36</f>
        <v>5979150</v>
      </c>
      <c r="C91" s="30">
        <f>B21*C36</f>
        <v>5891019.8141016001</v>
      </c>
      <c r="D91" s="30">
        <f>B21*D36</f>
        <v>6495962.7177810222</v>
      </c>
      <c r="E91" s="30">
        <f>B21*E36</f>
        <v>7097020.895293979</v>
      </c>
      <c r="F91" s="30">
        <f>B21*F36</f>
        <v>7629336.1517156847</v>
      </c>
      <c r="G91" s="30">
        <f>B21*G36</f>
        <v>8159967.1348904921</v>
      </c>
      <c r="H91" s="30">
        <f>B21*H36</f>
        <v>8631524.3324452303</v>
      </c>
      <c r="I91" s="30">
        <f>B21*I36</f>
        <v>9035962.823058201</v>
      </c>
      <c r="J91" s="30">
        <f>B21*J36</f>
        <v>9394976.5588680115</v>
      </c>
      <c r="K91" s="30">
        <f>B21*K36</f>
        <v>9651512.2843007464</v>
      </c>
      <c r="L91" s="43">
        <v>0</v>
      </c>
    </row>
    <row r="92" spans="1:12" ht="18" customHeight="1" x14ac:dyDescent="0.35">
      <c r="A92" s="2" t="s">
        <v>80</v>
      </c>
      <c r="B92" s="30">
        <f>B91</f>
        <v>5979150</v>
      </c>
      <c r="C92" s="30">
        <f>C91-B91</f>
        <v>-88130.185898399912</v>
      </c>
      <c r="D92" s="30">
        <f t="shared" ref="D92:K92" si="31">D91-C91</f>
        <v>604942.9036794221</v>
      </c>
      <c r="E92" s="30">
        <f t="shared" si="31"/>
        <v>601058.17751295678</v>
      </c>
      <c r="F92" s="30">
        <f t="shared" si="31"/>
        <v>532315.25642170571</v>
      </c>
      <c r="G92" s="30">
        <f t="shared" si="31"/>
        <v>530630.98317480739</v>
      </c>
      <c r="H92" s="30">
        <f t="shared" si="31"/>
        <v>471557.19755473826</v>
      </c>
      <c r="I92" s="30">
        <f t="shared" si="31"/>
        <v>404438.49061297067</v>
      </c>
      <c r="J92" s="30">
        <f t="shared" si="31"/>
        <v>359013.73580981046</v>
      </c>
      <c r="K92" s="30">
        <f t="shared" si="31"/>
        <v>256535.72543273494</v>
      </c>
      <c r="L92" s="30">
        <f>L91-K91</f>
        <v>-9651512.2843007464</v>
      </c>
    </row>
    <row r="93" spans="1:12" ht="18" customHeight="1" x14ac:dyDescent="0.35">
      <c r="A93" s="2" t="s">
        <v>81</v>
      </c>
      <c r="B93" s="12">
        <f>B91*B5*(1-B12)</f>
        <v>203111.7255</v>
      </c>
      <c r="C93" s="12">
        <f>C91*C5*(1-B12)</f>
        <v>200117.94308503135</v>
      </c>
      <c r="D93" s="12">
        <f>D91*D5*(1-B12)</f>
        <v>220667.85352302133</v>
      </c>
      <c r="E93" s="12">
        <f>E91*E5*(1-B12)</f>
        <v>241085.79981313646</v>
      </c>
      <c r="F93" s="12">
        <f>F91*F5*(1-B12)</f>
        <v>259168.54907378179</v>
      </c>
      <c r="G93" s="12">
        <f>G91*G5*(1-B12)</f>
        <v>277194.08357223001</v>
      </c>
      <c r="H93" s="12">
        <f>H91*H5*(1-B12)</f>
        <v>293212.88157316449</v>
      </c>
      <c r="I93" s="12">
        <f>I91*I5*(1-B12)</f>
        <v>306951.65709928708</v>
      </c>
      <c r="J93" s="12">
        <f>J91*J5*(1-B12)</f>
        <v>319147.35370474635</v>
      </c>
      <c r="K93" s="12">
        <f>K91*K5*(1-B12)</f>
        <v>327861.87229769636</v>
      </c>
      <c r="L93" s="12" t="s">
        <v>1</v>
      </c>
    </row>
    <row r="94" spans="1:12" ht="20" customHeight="1" x14ac:dyDescent="0.35"/>
    <row r="96" spans="1:12" x14ac:dyDescent="0.35">
      <c r="A96" s="36" t="s">
        <v>82</v>
      </c>
      <c r="B96" s="8" t="s">
        <v>0</v>
      </c>
      <c r="C96" s="3"/>
    </row>
    <row r="99" spans="1:13" x14ac:dyDescent="0.35">
      <c r="A99" s="2" t="s">
        <v>13</v>
      </c>
      <c r="B99" s="33">
        <v>1</v>
      </c>
      <c r="C99" s="33">
        <v>2</v>
      </c>
      <c r="D99" s="33">
        <v>3</v>
      </c>
      <c r="E99" s="33">
        <v>4</v>
      </c>
      <c r="F99" s="33">
        <v>5</v>
      </c>
      <c r="G99" s="33">
        <v>6</v>
      </c>
      <c r="H99" s="33">
        <v>7</v>
      </c>
      <c r="I99" s="33">
        <v>8</v>
      </c>
      <c r="J99" s="33">
        <v>9</v>
      </c>
      <c r="K99" s="33">
        <v>10</v>
      </c>
    </row>
    <row r="100" spans="1:13" x14ac:dyDescent="0.35">
      <c r="A100" s="2" t="s">
        <v>83</v>
      </c>
      <c r="B100" s="32">
        <f>'Sensitivity Tests'!B30</f>
        <v>1</v>
      </c>
      <c r="F100" s="8" t="s">
        <v>1</v>
      </c>
      <c r="G100" s="8" t="s">
        <v>0</v>
      </c>
      <c r="K100" s="8" t="s">
        <v>1</v>
      </c>
      <c r="L100" s="8" t="s">
        <v>0</v>
      </c>
      <c r="M100" s="8" t="s">
        <v>0</v>
      </c>
    </row>
    <row r="101" spans="1:13" x14ac:dyDescent="0.35">
      <c r="A101" s="2" t="s">
        <v>84</v>
      </c>
      <c r="B101" s="1">
        <v>7.9721999999999996E-4</v>
      </c>
      <c r="C101" s="1">
        <v>9.8262000000000002E-4</v>
      </c>
      <c r="D101" s="1">
        <v>1.2051E-3</v>
      </c>
      <c r="E101" s="1">
        <v>1.46466E-3</v>
      </c>
      <c r="F101" s="1">
        <v>1.7520299999999999E-3</v>
      </c>
      <c r="G101" s="1">
        <v>2.0857499999999999E-3</v>
      </c>
      <c r="H101" s="1">
        <v>2.4565500000000001E-3</v>
      </c>
      <c r="I101" s="1">
        <v>2.8644299999999998E-3</v>
      </c>
      <c r="J101" s="1">
        <v>3.3186600000000002E-3</v>
      </c>
      <c r="K101" s="1">
        <v>3.8007000000000002E-3</v>
      </c>
    </row>
  </sheetData>
  <sheetProtection algorithmName="SHA-512" hashValue="xVGaK0FXckHvVyxd6H6BhR8coJmITmEhEo+N06woLbvkSHw7+ZRcH/X1sro7VxKkM9HYTfdqwbVAl95KP4HGuw==" saltValue="81hR6ypU/9uBfpUOpaqSbA==" spinCount="100000" sheet="1" formatCells="0" formatColumns="0" formatRows="0" insertColumns="0" insertRows="0" insertHyperlinks="0" sort="0" autoFilter="0" pivotTables="0"/>
  <printOptions headings="1" gridLines="1"/>
  <pageMargins left="0.75" right="0.75" top="1" bottom="1" header="0.3" footer="0.3"/>
  <pageSetup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E19B3-7DDF-41D0-A118-BB561B525BCF}">
  <dimension ref="A1:BH122"/>
  <sheetViews>
    <sheetView tabSelected="1" topLeftCell="A34" zoomScale="66" workbookViewId="0">
      <selection activeCell="B52" sqref="B52"/>
    </sheetView>
  </sheetViews>
  <sheetFormatPr defaultRowHeight="14.5" x14ac:dyDescent="0.35"/>
  <cols>
    <col min="1" max="1" width="26.26953125" customWidth="1"/>
  </cols>
  <sheetData>
    <row r="1" spans="1:21" x14ac:dyDescent="0.35">
      <c r="A1" s="44" t="s">
        <v>88</v>
      </c>
      <c r="B1" s="49">
        <v>300000</v>
      </c>
      <c r="C1" s="49">
        <v>100000</v>
      </c>
      <c r="D1" s="49">
        <f>C1+20000</f>
        <v>120000</v>
      </c>
      <c r="E1" s="49">
        <f t="shared" ref="E1:U1" si="0">D1+20000</f>
        <v>140000</v>
      </c>
      <c r="F1" s="49">
        <f t="shared" si="0"/>
        <v>160000</v>
      </c>
      <c r="G1" s="49">
        <f t="shared" si="0"/>
        <v>180000</v>
      </c>
      <c r="H1" s="49">
        <f t="shared" si="0"/>
        <v>200000</v>
      </c>
      <c r="I1" s="49">
        <f t="shared" si="0"/>
        <v>220000</v>
      </c>
      <c r="J1" s="49">
        <f t="shared" si="0"/>
        <v>240000</v>
      </c>
      <c r="K1" s="49">
        <f t="shared" si="0"/>
        <v>260000</v>
      </c>
      <c r="L1" s="49">
        <f t="shared" si="0"/>
        <v>280000</v>
      </c>
      <c r="M1" s="49">
        <f t="shared" si="0"/>
        <v>300000</v>
      </c>
      <c r="N1" s="49">
        <f t="shared" si="0"/>
        <v>320000</v>
      </c>
      <c r="O1" s="49">
        <f t="shared" si="0"/>
        <v>340000</v>
      </c>
      <c r="P1" s="49">
        <f t="shared" si="0"/>
        <v>360000</v>
      </c>
      <c r="Q1" s="49">
        <f>P1+20000</f>
        <v>380000</v>
      </c>
      <c r="R1" s="49">
        <f t="shared" si="0"/>
        <v>400000</v>
      </c>
      <c r="S1" s="49">
        <f t="shared" si="0"/>
        <v>420000</v>
      </c>
      <c r="T1" s="49">
        <f t="shared" si="0"/>
        <v>440000</v>
      </c>
      <c r="U1" s="49">
        <f t="shared" si="0"/>
        <v>460000</v>
      </c>
    </row>
    <row r="2" spans="1:21" x14ac:dyDescent="0.35">
      <c r="A2" t="s">
        <v>89</v>
      </c>
      <c r="B2" s="49">
        <f>'LEVEL PREMIUM Model'!B56</f>
        <v>0.16991419578657618</v>
      </c>
      <c r="C2" s="49">
        <f t="dataTable" ref="C2:U3" dt2D="0" dtr="1" r1="B1" ca="1"/>
        <v>6.4357079980909893E-2</v>
      </c>
      <c r="D2" s="49">
        <v>8.4119079510660777E-2</v>
      </c>
      <c r="E2" s="49">
        <v>0.10030980321432037</v>
      </c>
      <c r="F2" s="49">
        <v>0.11385899865071125</v>
      </c>
      <c r="G2" s="49">
        <v>0.12538752078583171</v>
      </c>
      <c r="H2" s="49">
        <v>0.13532961738938165</v>
      </c>
      <c r="I2" s="49">
        <v>0.14400002144293378</v>
      </c>
      <c r="J2" s="49">
        <v>0.15163340332755371</v>
      </c>
      <c r="K2" s="49">
        <v>0.15840884706222869</v>
      </c>
      <c r="L2" s="49">
        <v>0.16446569902184494</v>
      </c>
      <c r="M2" s="49">
        <v>0.16991419578657618</v>
      </c>
      <c r="N2" s="49">
        <v>0.17484280242081884</v>
      </c>
      <c r="O2" s="49">
        <v>0.17932340680814085</v>
      </c>
      <c r="P2" s="49">
        <v>0.1834150759521822</v>
      </c>
      <c r="Q2" s="49">
        <v>0.18716682353335234</v>
      </c>
      <c r="R2" s="49">
        <v>0.19061968279073405</v>
      </c>
      <c r="S2" s="49">
        <v>0.19380828195990696</v>
      </c>
      <c r="T2" s="49">
        <v>0.19676205742486785</v>
      </c>
      <c r="U2" s="49">
        <v>0.19950619899329647</v>
      </c>
    </row>
    <row r="3" spans="1:21" x14ac:dyDescent="0.35">
      <c r="A3" t="s">
        <v>90</v>
      </c>
      <c r="B3" s="49">
        <f>'YRT Model'!B56</f>
        <v>0.15057226567012472</v>
      </c>
      <c r="C3" s="49">
        <v>6.0584270445675159E-2</v>
      </c>
      <c r="D3" s="49">
        <v>7.9637300621634877E-2</v>
      </c>
      <c r="E3" s="49">
        <v>9.443852317974466E-2</v>
      </c>
      <c r="F3" s="49">
        <v>0.10629177629715492</v>
      </c>
      <c r="G3" s="49">
        <v>0.11600968133795764</v>
      </c>
      <c r="H3" s="49">
        <v>0.12412783326039301</v>
      </c>
      <c r="I3" s="49">
        <v>0.13101478052171367</v>
      </c>
      <c r="J3" s="49">
        <v>0.1369330046156183</v>
      </c>
      <c r="K3" s="49">
        <v>0.14207480042436726</v>
      </c>
      <c r="L3" s="49">
        <v>0.14658441707089964</v>
      </c>
      <c r="M3" s="49">
        <v>0.15057226567012472</v>
      </c>
      <c r="N3" s="49">
        <v>0.15412434085738402</v>
      </c>
      <c r="O3" s="49">
        <v>0.15730864605909156</v>
      </c>
      <c r="P3" s="49">
        <v>0.16017968293542406</v>
      </c>
      <c r="Q3" s="49">
        <v>0.16278165548169543</v>
      </c>
      <c r="R3" s="49">
        <v>0.16515080003388016</v>
      </c>
      <c r="S3" s="49">
        <v>0.16731710814173417</v>
      </c>
      <c r="T3" s="49">
        <v>0.16930561971502045</v>
      </c>
      <c r="U3" s="49">
        <v>0.17113740682134204</v>
      </c>
    </row>
    <row r="6" spans="1:21" x14ac:dyDescent="0.35">
      <c r="A6" t="s">
        <v>8</v>
      </c>
      <c r="B6">
        <v>50</v>
      </c>
      <c r="C6">
        <v>45</v>
      </c>
      <c r="D6">
        <f>C6+1</f>
        <v>46</v>
      </c>
      <c r="E6">
        <f t="shared" ref="E6:M6" si="1">D6+1</f>
        <v>47</v>
      </c>
      <c r="F6">
        <f t="shared" si="1"/>
        <v>48</v>
      </c>
      <c r="G6">
        <f t="shared" si="1"/>
        <v>49</v>
      </c>
      <c r="H6">
        <f t="shared" si="1"/>
        <v>50</v>
      </c>
      <c r="I6">
        <f t="shared" si="1"/>
        <v>51</v>
      </c>
      <c r="J6">
        <f t="shared" si="1"/>
        <v>52</v>
      </c>
      <c r="K6">
        <f t="shared" si="1"/>
        <v>53</v>
      </c>
      <c r="L6">
        <f t="shared" si="1"/>
        <v>54</v>
      </c>
      <c r="M6">
        <f t="shared" si="1"/>
        <v>55</v>
      </c>
    </row>
    <row r="7" spans="1:21" x14ac:dyDescent="0.35">
      <c r="A7" t="s">
        <v>89</v>
      </c>
      <c r="B7" s="45">
        <f>'LEVEL PREMIUM Model'!B56</f>
        <v>0.16991419578657618</v>
      </c>
      <c r="C7">
        <f t="dataTable" ref="C7:M8" dt2D="0" dtr="1" r1="B6"/>
        <v>0.17364444804898693</v>
      </c>
      <c r="D7">
        <v>0.17289194119824547</v>
      </c>
      <c r="E7">
        <v>0.17214268621367612</v>
      </c>
      <c r="F7">
        <v>0.17139665930798764</v>
      </c>
      <c r="G7">
        <v>0.17065383693500724</v>
      </c>
      <c r="H7">
        <v>0.16991419578657618</v>
      </c>
      <c r="I7">
        <v>0.16917771278949512</v>
      </c>
      <c r="J7">
        <v>0.16844436510251848</v>
      </c>
      <c r="K7">
        <v>0.16771413011339353</v>
      </c>
      <c r="L7">
        <v>0.16698698543594603</v>
      </c>
      <c r="M7">
        <v>0.16626290890720918</v>
      </c>
    </row>
    <row r="8" spans="1:21" x14ac:dyDescent="0.35">
      <c r="A8" t="s">
        <v>90</v>
      </c>
      <c r="B8" s="45">
        <f>'YRT Model'!B56</f>
        <v>0.15057226567012472</v>
      </c>
      <c r="C8">
        <v>0.15382724359086275</v>
      </c>
      <c r="D8">
        <v>0.15317061694877232</v>
      </c>
      <c r="E8">
        <v>0.15251682717907955</v>
      </c>
      <c r="F8">
        <v>0.15186585282436194</v>
      </c>
      <c r="G8">
        <v>0.15121767265581409</v>
      </c>
      <c r="H8">
        <v>0.15057226567012472</v>
      </c>
      <c r="I8">
        <v>0.14992961108640968</v>
      </c>
      <c r="J8">
        <v>0.14928968834319223</v>
      </c>
      <c r="K8">
        <v>0.14865247709543383</v>
      </c>
      <c r="L8">
        <v>0.14801795721161493</v>
      </c>
      <c r="M8">
        <v>0.14738610877086256</v>
      </c>
    </row>
    <row r="11" spans="1:21" x14ac:dyDescent="0.35">
      <c r="A11" s="46" t="s">
        <v>9</v>
      </c>
      <c r="B11">
        <v>0.25</v>
      </c>
      <c r="C11">
        <v>0.1</v>
      </c>
      <c r="D11">
        <f>C11+0.05</f>
        <v>0.15000000000000002</v>
      </c>
      <c r="E11">
        <f t="shared" ref="E11:M11" si="2">D11+0.05</f>
        <v>0.2</v>
      </c>
      <c r="F11">
        <f t="shared" si="2"/>
        <v>0.25</v>
      </c>
      <c r="G11">
        <f t="shared" si="2"/>
        <v>0.3</v>
      </c>
      <c r="H11">
        <f t="shared" si="2"/>
        <v>0.35</v>
      </c>
      <c r="I11">
        <f t="shared" si="2"/>
        <v>0.39999999999999997</v>
      </c>
      <c r="J11">
        <f t="shared" si="2"/>
        <v>0.44999999999999996</v>
      </c>
      <c r="K11">
        <f t="shared" si="2"/>
        <v>0.49999999999999994</v>
      </c>
      <c r="L11">
        <f t="shared" si="2"/>
        <v>0.54999999999999993</v>
      </c>
      <c r="M11">
        <f t="shared" si="2"/>
        <v>0.6</v>
      </c>
    </row>
    <row r="12" spans="1:21" x14ac:dyDescent="0.35">
      <c r="A12" t="s">
        <v>89</v>
      </c>
      <c r="B12" s="45">
        <f>B7</f>
        <v>0.16991419578657618</v>
      </c>
      <c r="C12">
        <f t="dataTable" ref="C12:M13" dt2D="0" dtr="1" r1="B11" ca="1"/>
        <v>0.20671790193042217</v>
      </c>
      <c r="D12">
        <v>0.19358889007202706</v>
      </c>
      <c r="E12">
        <v>0.18135378126083634</v>
      </c>
      <c r="F12">
        <v>0.16991419578657618</v>
      </c>
      <c r="G12">
        <v>0.15918617000993662</v>
      </c>
      <c r="H12">
        <v>0.1490975713267324</v>
      </c>
      <c r="I12">
        <v>0.13958605401703039</v>
      </c>
      <c r="J12">
        <v>0.13059742789522133</v>
      </c>
      <c r="K12">
        <v>0.12208434528227041</v>
      </c>
      <c r="L12">
        <v>0.11400523580917143</v>
      </c>
      <c r="M12">
        <v>0.10632343589762061</v>
      </c>
    </row>
    <row r="13" spans="1:21" x14ac:dyDescent="0.35">
      <c r="A13" t="s">
        <v>90</v>
      </c>
      <c r="B13" s="45">
        <f>B8</f>
        <v>0.15057226567012472</v>
      </c>
      <c r="C13">
        <v>0.18269696240233868</v>
      </c>
      <c r="D13">
        <v>0.1712327413269632</v>
      </c>
      <c r="E13">
        <v>0.160554428606696</v>
      </c>
      <c r="F13">
        <v>0.15057226567012472</v>
      </c>
      <c r="G13">
        <v>0.14121031623150393</v>
      </c>
      <c r="H13">
        <v>0.13240384624867807</v>
      </c>
      <c r="I13">
        <v>0.12409728486844318</v>
      </c>
      <c r="J13">
        <v>0.11624262044559552</v>
      </c>
      <c r="K13">
        <v>0.10879812631033925</v>
      </c>
      <c r="L13">
        <v>0.10172733924379074</v>
      </c>
      <c r="M13">
        <v>9.4998233617334282E-2</v>
      </c>
    </row>
    <row r="16" spans="1:21" x14ac:dyDescent="0.35">
      <c r="A16" s="46" t="s">
        <v>10</v>
      </c>
      <c r="B16">
        <v>10</v>
      </c>
      <c r="C16">
        <v>5</v>
      </c>
      <c r="D16">
        <f>C16+1</f>
        <v>6</v>
      </c>
      <c r="E16">
        <f t="shared" ref="E16:M16" si="3">D16+1</f>
        <v>7</v>
      </c>
      <c r="F16">
        <f t="shared" si="3"/>
        <v>8</v>
      </c>
      <c r="G16">
        <f t="shared" si="3"/>
        <v>9</v>
      </c>
      <c r="H16">
        <f t="shared" si="3"/>
        <v>10</v>
      </c>
      <c r="I16">
        <f t="shared" si="3"/>
        <v>11</v>
      </c>
      <c r="J16">
        <f t="shared" si="3"/>
        <v>12</v>
      </c>
      <c r="K16">
        <f t="shared" si="3"/>
        <v>13</v>
      </c>
      <c r="L16">
        <f t="shared" si="3"/>
        <v>14</v>
      </c>
      <c r="M16">
        <f t="shared" si="3"/>
        <v>15</v>
      </c>
    </row>
    <row r="17" spans="1:60" x14ac:dyDescent="0.35">
      <c r="A17" t="s">
        <v>89</v>
      </c>
      <c r="B17" s="45">
        <f>B12</f>
        <v>0.16991419578657618</v>
      </c>
      <c r="C17">
        <f t="dataTable" ref="C17:M18" dt2D="0" dtr="1" r1="B16" ca="1"/>
        <v>0.19184618691741195</v>
      </c>
      <c r="D17">
        <v>0.18719142070905326</v>
      </c>
      <c r="E17">
        <v>0.1826777221606628</v>
      </c>
      <c r="F17">
        <v>0.17829796435587597</v>
      </c>
      <c r="G17">
        <v>0.17404551552899927</v>
      </c>
      <c r="H17">
        <v>0.16991419578657618</v>
      </c>
      <c r="I17">
        <v>0.16589823835086603</v>
      </c>
      <c r="J17">
        <v>0.16199225477886214</v>
      </c>
      <c r="K17">
        <v>0.15819120368506567</v>
      </c>
      <c r="L17">
        <v>0.15449036255950332</v>
      </c>
      <c r="M17">
        <v>0.15088530232634412</v>
      </c>
    </row>
    <row r="18" spans="1:60" x14ac:dyDescent="0.35">
      <c r="A18" t="s">
        <v>90</v>
      </c>
      <c r="B18" s="45">
        <f>B13</f>
        <v>0.15057226567012472</v>
      </c>
      <c r="C18">
        <v>0.16281258170865698</v>
      </c>
      <c r="D18">
        <v>0.16033838283903523</v>
      </c>
      <c r="E18">
        <v>0.15787738101431592</v>
      </c>
      <c r="F18">
        <v>0.15542944627114585</v>
      </c>
      <c r="G18">
        <v>0.15299445014888424</v>
      </c>
      <c r="H18">
        <v>0.15057226567012472</v>
      </c>
      <c r="I18">
        <v>0.1481627673214978</v>
      </c>
      <c r="J18">
        <v>0.14576583103475649</v>
      </c>
      <c r="K18">
        <v>0.14338133416813781</v>
      </c>
      <c r="L18">
        <v>0.14100915548799753</v>
      </c>
      <c r="M18">
        <v>0.13864917515070974</v>
      </c>
    </row>
    <row r="21" spans="1:60" x14ac:dyDescent="0.35">
      <c r="A21" s="46" t="s">
        <v>11</v>
      </c>
      <c r="B21">
        <v>0.05</v>
      </c>
      <c r="C21">
        <v>0.01</v>
      </c>
      <c r="D21">
        <f>C21+0.01</f>
        <v>0.02</v>
      </c>
      <c r="E21">
        <f t="shared" ref="E21:M21" si="4">D21+0.01</f>
        <v>0.03</v>
      </c>
      <c r="F21">
        <f t="shared" si="4"/>
        <v>0.04</v>
      </c>
      <c r="G21">
        <f t="shared" si="4"/>
        <v>0.05</v>
      </c>
      <c r="H21">
        <f t="shared" si="4"/>
        <v>6.0000000000000005E-2</v>
      </c>
      <c r="I21">
        <f t="shared" si="4"/>
        <v>7.0000000000000007E-2</v>
      </c>
      <c r="J21">
        <f t="shared" si="4"/>
        <v>0.08</v>
      </c>
      <c r="K21">
        <f t="shared" si="4"/>
        <v>0.09</v>
      </c>
      <c r="L21">
        <f t="shared" si="4"/>
        <v>9.9999999999999992E-2</v>
      </c>
      <c r="M21">
        <f t="shared" si="4"/>
        <v>0.10999999999999999</v>
      </c>
    </row>
    <row r="22" spans="1:60" x14ac:dyDescent="0.35">
      <c r="A22" t="s">
        <v>89</v>
      </c>
      <c r="B22" s="45">
        <f>B12</f>
        <v>0.16991419578657618</v>
      </c>
      <c r="C22">
        <f t="dataTable" ref="C22:M23" dt2D="0" dtr="1" r1="B21" ca="1"/>
        <v>0.22910749950271292</v>
      </c>
      <c r="D22">
        <v>0.21203868144452853</v>
      </c>
      <c r="E22">
        <v>0.19664969128769294</v>
      </c>
      <c r="F22">
        <v>0.1826777221606628</v>
      </c>
      <c r="G22">
        <v>0.16991419578657618</v>
      </c>
      <c r="H22">
        <v>0.15819120368506567</v>
      </c>
      <c r="I22">
        <v>0.14737186433441529</v>
      </c>
      <c r="J22">
        <v>0.13734332916074665</v>
      </c>
      <c r="K22">
        <v>0.12801162003615119</v>
      </c>
      <c r="L22">
        <v>0.11929775826686551</v>
      </c>
      <c r="M22">
        <v>0.11113482049774515</v>
      </c>
    </row>
    <row r="23" spans="1:60" x14ac:dyDescent="0.35">
      <c r="A23" t="s">
        <v>90</v>
      </c>
      <c r="B23" s="45">
        <f>B18</f>
        <v>0.15057226567012472</v>
      </c>
      <c r="C23">
        <v>0.18051273281941627</v>
      </c>
      <c r="D23">
        <v>0.17284400061397243</v>
      </c>
      <c r="E23">
        <v>0.16530010910902582</v>
      </c>
      <c r="F23">
        <v>0.15787738101431592</v>
      </c>
      <c r="G23">
        <v>0.15057226567012472</v>
      </c>
      <c r="H23">
        <v>0.14338133416813781</v>
      </c>
      <c r="I23">
        <v>0.13630127468483222</v>
      </c>
      <c r="J23">
        <v>0.1293288880166148</v>
      </c>
      <c r="K23">
        <v>0.12246108330667016</v>
      </c>
      <c r="L23">
        <v>0.11569487395408706</v>
      </c>
      <c r="M23">
        <v>0.10902737369644044</v>
      </c>
    </row>
    <row r="26" spans="1:60" x14ac:dyDescent="0.35">
      <c r="A26" t="s">
        <v>93</v>
      </c>
      <c r="B26">
        <f>21%</f>
        <v>0.21</v>
      </c>
      <c r="C26">
        <f>0.15</f>
        <v>0.15</v>
      </c>
      <c r="D26">
        <f>C26+0.01</f>
        <v>0.16</v>
      </c>
      <c r="E26">
        <f t="shared" ref="E26:M26" si="5">D26+0.01</f>
        <v>0.17</v>
      </c>
      <c r="F26">
        <f t="shared" si="5"/>
        <v>0.18000000000000002</v>
      </c>
      <c r="G26">
        <f t="shared" si="5"/>
        <v>0.19000000000000003</v>
      </c>
      <c r="H26">
        <f t="shared" si="5"/>
        <v>0.20000000000000004</v>
      </c>
      <c r="I26">
        <f t="shared" si="5"/>
        <v>0.21000000000000005</v>
      </c>
      <c r="J26">
        <f t="shared" si="5"/>
        <v>0.22000000000000006</v>
      </c>
      <c r="K26">
        <f t="shared" si="5"/>
        <v>0.23000000000000007</v>
      </c>
      <c r="L26">
        <f t="shared" si="5"/>
        <v>0.24000000000000007</v>
      </c>
      <c r="M26">
        <f t="shared" si="5"/>
        <v>0.25000000000000006</v>
      </c>
    </row>
    <row r="27" spans="1:60" x14ac:dyDescent="0.35">
      <c r="A27" t="s">
        <v>89</v>
      </c>
      <c r="B27" s="45">
        <f>B22</f>
        <v>0.16991419578657618</v>
      </c>
      <c r="C27">
        <f t="dataTable" ref="C27:M28" dt2D="0" dtr="1" r1="B26" ca="1"/>
        <v>0.17359488536270118</v>
      </c>
      <c r="D27">
        <v>0.17300952642540035</v>
      </c>
      <c r="E27">
        <v>0.17241333927984681</v>
      </c>
      <c r="F27">
        <v>0.17180602647946608</v>
      </c>
      <c r="G27">
        <v>0.17118727984246429</v>
      </c>
      <c r="H27">
        <v>0.17055677997775964</v>
      </c>
      <c r="I27">
        <v>0.16991419578657618</v>
      </c>
      <c r="J27">
        <v>0.16925918393831041</v>
      </c>
      <c r="K27">
        <v>0.1685913883191974</v>
      </c>
      <c r="L27">
        <v>0.16791043945222195</v>
      </c>
      <c r="M27">
        <v>0.16721595388661648</v>
      </c>
    </row>
    <row r="28" spans="1:60" x14ac:dyDescent="0.35">
      <c r="A28" t="s">
        <v>90</v>
      </c>
      <c r="B28" s="45">
        <f>B23</f>
        <v>0.15057226567012472</v>
      </c>
      <c r="C28">
        <v>0.15365557200335789</v>
      </c>
      <c r="D28">
        <v>0.15316511120691034</v>
      </c>
      <c r="E28">
        <v>0.15266562132853201</v>
      </c>
      <c r="F28">
        <v>0.15215685401370216</v>
      </c>
      <c r="G28">
        <v>0.15163855185703334</v>
      </c>
      <c r="H28">
        <v>0.15111044799387807</v>
      </c>
      <c r="I28">
        <v>0.15057226567012494</v>
      </c>
      <c r="J28">
        <v>0.15002371778885815</v>
      </c>
      <c r="K28">
        <v>0.1494645064324589</v>
      </c>
      <c r="L28">
        <v>0.14889432235862921</v>
      </c>
      <c r="M28">
        <v>0.14831284446871607</v>
      </c>
    </row>
    <row r="30" spans="1:60" x14ac:dyDescent="0.35">
      <c r="A30" t="s">
        <v>83</v>
      </c>
      <c r="B30">
        <v>1</v>
      </c>
      <c r="C30">
        <v>0.7</v>
      </c>
      <c r="D30">
        <f>C30+0.01</f>
        <v>0.71</v>
      </c>
      <c r="E30">
        <f t="shared" ref="E30:BH30" si="6">D30+0.01</f>
        <v>0.72</v>
      </c>
      <c r="F30">
        <f t="shared" si="6"/>
        <v>0.73</v>
      </c>
      <c r="G30">
        <f t="shared" si="6"/>
        <v>0.74</v>
      </c>
      <c r="H30">
        <f t="shared" si="6"/>
        <v>0.75</v>
      </c>
      <c r="I30">
        <f t="shared" si="6"/>
        <v>0.76</v>
      </c>
      <c r="J30">
        <f t="shared" si="6"/>
        <v>0.77</v>
      </c>
      <c r="K30">
        <f t="shared" si="6"/>
        <v>0.78</v>
      </c>
      <c r="L30">
        <f t="shared" si="6"/>
        <v>0.79</v>
      </c>
      <c r="M30">
        <f t="shared" si="6"/>
        <v>0.8</v>
      </c>
      <c r="N30">
        <f t="shared" si="6"/>
        <v>0.81</v>
      </c>
      <c r="O30">
        <f t="shared" si="6"/>
        <v>0.82000000000000006</v>
      </c>
      <c r="P30">
        <f t="shared" si="6"/>
        <v>0.83000000000000007</v>
      </c>
      <c r="Q30">
        <f t="shared" si="6"/>
        <v>0.84000000000000008</v>
      </c>
      <c r="R30">
        <f t="shared" si="6"/>
        <v>0.85000000000000009</v>
      </c>
      <c r="S30">
        <f t="shared" si="6"/>
        <v>0.8600000000000001</v>
      </c>
      <c r="T30">
        <f t="shared" si="6"/>
        <v>0.87000000000000011</v>
      </c>
      <c r="U30">
        <f t="shared" si="6"/>
        <v>0.88000000000000012</v>
      </c>
      <c r="V30">
        <f t="shared" si="6"/>
        <v>0.89000000000000012</v>
      </c>
      <c r="W30">
        <f t="shared" si="6"/>
        <v>0.90000000000000013</v>
      </c>
      <c r="X30">
        <f t="shared" si="6"/>
        <v>0.91000000000000014</v>
      </c>
      <c r="Y30">
        <f t="shared" si="6"/>
        <v>0.92000000000000015</v>
      </c>
      <c r="Z30">
        <f t="shared" si="6"/>
        <v>0.93000000000000016</v>
      </c>
      <c r="AA30">
        <f t="shared" si="6"/>
        <v>0.94000000000000017</v>
      </c>
      <c r="AB30">
        <f t="shared" si="6"/>
        <v>0.95000000000000018</v>
      </c>
      <c r="AC30">
        <f t="shared" si="6"/>
        <v>0.96000000000000019</v>
      </c>
      <c r="AD30">
        <f t="shared" si="6"/>
        <v>0.9700000000000002</v>
      </c>
      <c r="AE30">
        <f t="shared" si="6"/>
        <v>0.9800000000000002</v>
      </c>
      <c r="AF30">
        <f t="shared" si="6"/>
        <v>0.99000000000000021</v>
      </c>
      <c r="AG30">
        <f t="shared" si="6"/>
        <v>1.0000000000000002</v>
      </c>
      <c r="AH30">
        <f t="shared" si="6"/>
        <v>1.0100000000000002</v>
      </c>
      <c r="AI30">
        <f t="shared" si="6"/>
        <v>1.0200000000000002</v>
      </c>
      <c r="AJ30">
        <f t="shared" si="6"/>
        <v>1.0300000000000002</v>
      </c>
      <c r="AK30">
        <f t="shared" si="6"/>
        <v>1.0400000000000003</v>
      </c>
      <c r="AL30">
        <f t="shared" si="6"/>
        <v>1.0500000000000003</v>
      </c>
      <c r="AM30">
        <f t="shared" si="6"/>
        <v>1.0600000000000003</v>
      </c>
      <c r="AN30">
        <f t="shared" si="6"/>
        <v>1.0700000000000003</v>
      </c>
      <c r="AO30">
        <f t="shared" si="6"/>
        <v>1.0800000000000003</v>
      </c>
      <c r="AP30">
        <f t="shared" si="6"/>
        <v>1.0900000000000003</v>
      </c>
      <c r="AQ30">
        <f t="shared" si="6"/>
        <v>1.1000000000000003</v>
      </c>
      <c r="AR30">
        <f t="shared" si="6"/>
        <v>1.1100000000000003</v>
      </c>
      <c r="AS30">
        <f t="shared" si="6"/>
        <v>1.1200000000000003</v>
      </c>
      <c r="AT30">
        <f t="shared" si="6"/>
        <v>1.1300000000000003</v>
      </c>
      <c r="AU30">
        <f t="shared" si="6"/>
        <v>1.1400000000000003</v>
      </c>
      <c r="AV30">
        <f t="shared" si="6"/>
        <v>1.1500000000000004</v>
      </c>
      <c r="AW30">
        <f t="shared" si="6"/>
        <v>1.1600000000000004</v>
      </c>
      <c r="AX30">
        <f t="shared" si="6"/>
        <v>1.1700000000000004</v>
      </c>
      <c r="AY30">
        <f t="shared" si="6"/>
        <v>1.1800000000000004</v>
      </c>
      <c r="AZ30">
        <f t="shared" si="6"/>
        <v>1.1900000000000004</v>
      </c>
      <c r="BA30">
        <f t="shared" si="6"/>
        <v>1.2000000000000004</v>
      </c>
      <c r="BB30">
        <f t="shared" si="6"/>
        <v>1.2100000000000004</v>
      </c>
      <c r="BC30">
        <f t="shared" si="6"/>
        <v>1.2200000000000004</v>
      </c>
      <c r="BD30">
        <f t="shared" si="6"/>
        <v>1.2300000000000004</v>
      </c>
      <c r="BE30">
        <f t="shared" si="6"/>
        <v>1.2400000000000004</v>
      </c>
      <c r="BF30">
        <f t="shared" si="6"/>
        <v>1.2500000000000004</v>
      </c>
      <c r="BG30">
        <f t="shared" si="6"/>
        <v>1.2600000000000005</v>
      </c>
      <c r="BH30">
        <f t="shared" si="6"/>
        <v>1.2700000000000005</v>
      </c>
    </row>
    <row r="31" spans="1:60" x14ac:dyDescent="0.35">
      <c r="A31" t="s">
        <v>89</v>
      </c>
      <c r="B31" s="45">
        <f>'LEVEL PREMIUM Model'!B56</f>
        <v>0.16991419578657618</v>
      </c>
      <c r="C31">
        <f t="dataTable" ref="C31:BH32" dt2D="0" dtr="1" r1="B30" ca="1"/>
        <v>0.55124487827849289</v>
      </c>
      <c r="D31">
        <v>0.53652779436781883</v>
      </c>
      <c r="E31">
        <v>0.52202733066543949</v>
      </c>
      <c r="F31">
        <v>0.50773389884069919</v>
      </c>
      <c r="G31">
        <v>0.49363818489254219</v>
      </c>
      <c r="H31">
        <v>0.47973112883876734</v>
      </c>
      <c r="I31">
        <v>0.46600390511543699</v>
      </c>
      <c r="J31">
        <v>0.45244790359777953</v>
      </c>
      <c r="K31">
        <v>0.43905471115753913</v>
      </c>
      <c r="L31">
        <v>0.42581609367479434</v>
      </c>
      <c r="M31">
        <v>0.41272397842486752</v>
      </c>
      <c r="N31">
        <v>0.39977043676311141</v>
      </c>
      <c r="O31">
        <v>0.38694766703219008</v>
      </c>
      <c r="P31">
        <v>0.37424797761805872</v>
      </c>
      <c r="Q31">
        <v>0.36166377008221851</v>
      </c>
      <c r="R31">
        <v>0.34918752229923178</v>
      </c>
      <c r="S31">
        <v>0.33681177152994835</v>
      </c>
      <c r="T31">
        <v>0.32452909736271129</v>
      </c>
      <c r="U31">
        <v>0.31233210445719561</v>
      </c>
      <c r="V31">
        <v>0.30021340502885052</v>
      </c>
      <c r="W31">
        <v>0.28816560101658073</v>
      </c>
      <c r="X31">
        <v>0.27618126588291081</v>
      </c>
      <c r="Y31">
        <v>0.26425292600519645</v>
      </c>
      <c r="Z31">
        <v>0.25237304162942853</v>
      </c>
      <c r="AA31">
        <v>0.24053398737620113</v>
      </c>
      <c r="AB31">
        <v>0.22872803231308425</v>
      </c>
      <c r="AC31">
        <v>0.21694731964129033</v>
      </c>
      <c r="AD31">
        <v>0.20518384608997464</v>
      </c>
      <c r="AE31">
        <v>0.19342944117264138</v>
      </c>
      <c r="AF31">
        <v>0.1816757465417822</v>
      </c>
      <c r="AG31">
        <v>0.16991419578657574</v>
      </c>
      <c r="AH31">
        <v>0.15813599516235577</v>
      </c>
      <c r="AI31">
        <v>0.14633210593032819</v>
      </c>
      <c r="AJ31">
        <v>0.13449322923513884</v>
      </c>
      <c r="AK31">
        <v>0.12260979477337464</v>
      </c>
      <c r="AL31">
        <v>0.11067195492911153</v>
      </c>
      <c r="AM31">
        <v>9.8669586598928882E-2</v>
      </c>
      <c r="AN31">
        <v>8.6592303628780121E-2</v>
      </c>
      <c r="AO31">
        <v>7.4429483673172481E-2</v>
      </c>
      <c r="AP31">
        <v>6.2170314399172533E-2</v>
      </c>
      <c r="AQ31">
        <v>4.9803865326269348E-2</v>
      </c>
      <c r="AR31">
        <v>3.7319193237133286E-2</v>
      </c>
      <c r="AS31">
        <v>2.4705491001839608E-2</v>
      </c>
      <c r="AT31">
        <v>1.1952291757516553E-2</v>
      </c>
      <c r="AU31">
        <v>-9.502575003810243E-4</v>
      </c>
      <c r="AV31">
        <v>-1.401103707817275E-2</v>
      </c>
      <c r="AW31">
        <v>-2.723749381949403E-2</v>
      </c>
      <c r="AX31">
        <v>-4.0635062815565171E-2</v>
      </c>
      <c r="AY31">
        <v>-5.4206460404687684E-2</v>
      </c>
      <c r="AZ31">
        <v>-6.7950846921192354E-2</v>
      </c>
      <c r="BA31">
        <v>-8.186287469464737E-2</v>
      </c>
      <c r="BB31">
        <v>-9.5931663100935705E-2</v>
      </c>
      <c r="BC31">
        <v>-0.11013977844521472</v>
      </c>
      <c r="BD31">
        <v>-0.12446233930599959</v>
      </c>
      <c r="BE31">
        <v>-0.13886640963812225</v>
      </c>
      <c r="BF31">
        <v>-0.15331086801723126</v>
      </c>
      <c r="BG31">
        <v>-0.16774693291338982</v>
      </c>
      <c r="BH31">
        <v>-0.18211946367224008</v>
      </c>
    </row>
    <row r="32" spans="1:60" x14ac:dyDescent="0.35">
      <c r="A32" t="s">
        <v>95</v>
      </c>
      <c r="B32" s="45">
        <f>'YRT Model'!B56</f>
        <v>0.15057226567012472</v>
      </c>
      <c r="C32">
        <v>0.52692966640847083</v>
      </c>
      <c r="D32">
        <v>0.51177317784715104</v>
      </c>
      <c r="E32">
        <v>0.49688147629909074</v>
      </c>
      <c r="F32">
        <v>0.48224330395605208</v>
      </c>
      <c r="G32">
        <v>0.46784783054607249</v>
      </c>
      <c r="H32">
        <v>0.45368462819317013</v>
      </c>
      <c r="I32">
        <v>0.43974364778188035</v>
      </c>
      <c r="J32">
        <v>0.42601519671819288</v>
      </c>
      <c r="K32">
        <v>0.41248991798898538</v>
      </c>
      <c r="L32">
        <v>0.39915877043190084</v>
      </c>
      <c r="M32">
        <v>0.38601301013681888</v>
      </c>
      <c r="N32">
        <v>0.37304417290880476</v>
      </c>
      <c r="O32">
        <v>0.36024405773078461</v>
      </c>
      <c r="P32">
        <v>0.34760471117225844</v>
      </c>
      <c r="Q32">
        <v>0.33511841269831888</v>
      </c>
      <c r="R32">
        <v>0.32277766084108461</v>
      </c>
      <c r="S32">
        <v>0.31057516020365528</v>
      </c>
      <c r="T32">
        <v>0.29850380927476405</v>
      </c>
      <c r="U32">
        <v>0.28655668904078668</v>
      </c>
      <c r="V32">
        <v>0.27472705239059891</v>
      </c>
      <c r="W32">
        <v>0.26300831431824112</v>
      </c>
      <c r="X32">
        <v>0.25139404293847489</v>
      </c>
      <c r="Y32">
        <v>0.23987795134136869</v>
      </c>
      <c r="Z32">
        <v>0.22845389032407981</v>
      </c>
      <c r="AA32">
        <v>0.21711584205125822</v>
      </c>
      <c r="AB32">
        <v>0.20585791471009807</v>
      </c>
      <c r="AC32">
        <v>0.19467433824219316</v>
      </c>
      <c r="AD32">
        <v>0.18355946125215583</v>
      </c>
      <c r="AE32">
        <v>0.17250774921255285</v>
      </c>
      <c r="AF32">
        <v>0.16151378410618689</v>
      </c>
      <c r="AG32">
        <v>0.15057226567012449</v>
      </c>
      <c r="AH32">
        <v>0.13967801443103411</v>
      </c>
      <c r="AI32">
        <v>0.12882597674814056</v>
      </c>
      <c r="AJ32">
        <v>0.11801123210800024</v>
      </c>
      <c r="AK32">
        <v>0.10722900294361049</v>
      </c>
      <c r="AL32">
        <v>9.647466727808518E-2</v>
      </c>
      <c r="AM32">
        <v>8.5743774518683313E-2</v>
      </c>
      <c r="AN32">
        <v>7.5032064748254079E-2</v>
      </c>
      <c r="AO32">
        <v>6.4335491875323614E-2</v>
      </c>
      <c r="AP32">
        <v>5.3650251007322236E-2</v>
      </c>
      <c r="AQ32">
        <v>4.2972810399060091E-2</v>
      </c>
      <c r="AR32">
        <v>3.2299948294597147E-2</v>
      </c>
      <c r="AS32">
        <v>2.1628794917915473E-2</v>
      </c>
      <c r="AT32">
        <v>1.0956879768037053E-2</v>
      </c>
      <c r="AU32">
        <v>2.8218422818837574E-4</v>
      </c>
      <c r="AV32">
        <v>-1.0396800703346698E-2</v>
      </c>
      <c r="AW32">
        <v>-2.1081012020014889E-2</v>
      </c>
      <c r="AX32">
        <v>-3.1770748450083652E-2</v>
      </c>
      <c r="AY32">
        <v>-4.2465601549849352E-2</v>
      </c>
      <c r="AZ32">
        <v>-5.3164385848955331E-2</v>
      </c>
      <c r="BA32">
        <v>-6.3865070298937843E-2</v>
      </c>
      <c r="BB32">
        <v>-7.4564713861489995E-2</v>
      </c>
      <c r="BC32">
        <v>-8.5259408654560165E-2</v>
      </c>
      <c r="BD32">
        <v>-9.5944234595013334E-2</v>
      </c>
      <c r="BE32">
        <v>-0.10661322986239141</v>
      </c>
      <c r="BF32">
        <v>-0.11725938167276306</v>
      </c>
      <c r="BG32">
        <v>-0.12787464170410312</v>
      </c>
      <c r="BH32">
        <v>-0.13844996997356263</v>
      </c>
    </row>
    <row r="34" spans="1:30" x14ac:dyDescent="0.35">
      <c r="A34" t="s">
        <v>83</v>
      </c>
      <c r="B34">
        <f>1</f>
        <v>1</v>
      </c>
    </row>
    <row r="35" spans="1:30" x14ac:dyDescent="0.35">
      <c r="A35" t="s">
        <v>89</v>
      </c>
      <c r="B35" s="45">
        <f>'LEVEL PREMIUM Model'!B56</f>
        <v>0.16991419578657618</v>
      </c>
    </row>
    <row r="36" spans="1:30" x14ac:dyDescent="0.35">
      <c r="A36" t="s">
        <v>90</v>
      </c>
      <c r="B36" s="45">
        <f>'YRT Model'!B56</f>
        <v>0.15057226567012472</v>
      </c>
    </row>
    <row r="38" spans="1:30" x14ac:dyDescent="0.35">
      <c r="A38" t="s">
        <v>96</v>
      </c>
      <c r="B38">
        <f>20%</f>
        <v>0.2</v>
      </c>
      <c r="C38">
        <v>0.15</v>
      </c>
      <c r="D38">
        <f>C38+0.01</f>
        <v>0.16</v>
      </c>
      <c r="E38">
        <f t="shared" ref="E38:P38" si="7">D38+0.01</f>
        <v>0.17</v>
      </c>
      <c r="F38">
        <f t="shared" si="7"/>
        <v>0.18000000000000002</v>
      </c>
      <c r="G38">
        <f t="shared" si="7"/>
        <v>0.19000000000000003</v>
      </c>
      <c r="H38">
        <f t="shared" si="7"/>
        <v>0.20000000000000004</v>
      </c>
      <c r="I38">
        <f t="shared" si="7"/>
        <v>0.21000000000000005</v>
      </c>
      <c r="J38">
        <f t="shared" si="7"/>
        <v>0.22000000000000006</v>
      </c>
      <c r="K38">
        <f t="shared" si="7"/>
        <v>0.23000000000000007</v>
      </c>
      <c r="L38">
        <f t="shared" si="7"/>
        <v>0.24000000000000007</v>
      </c>
      <c r="M38">
        <f t="shared" si="7"/>
        <v>0.25000000000000006</v>
      </c>
      <c r="N38">
        <f t="shared" si="7"/>
        <v>0.26000000000000006</v>
      </c>
      <c r="O38">
        <f t="shared" si="7"/>
        <v>0.27000000000000007</v>
      </c>
      <c r="P38">
        <f t="shared" si="7"/>
        <v>0.28000000000000008</v>
      </c>
    </row>
    <row r="39" spans="1:30" x14ac:dyDescent="0.35">
      <c r="A39" t="s">
        <v>89</v>
      </c>
      <c r="B39" s="45">
        <f>'LEVEL PREMIUM Model'!B56</f>
        <v>0.16991419578657618</v>
      </c>
      <c r="C39">
        <f t="dataTable" ref="C39:P40" dt2D="0" dtr="1" r1="B38" ca="1"/>
        <v>0.17773826635247958</v>
      </c>
      <c r="D39">
        <v>0.1762176726788498</v>
      </c>
      <c r="E39">
        <v>0.17467547894151947</v>
      </c>
      <c r="F39">
        <v>0.17311118352058319</v>
      </c>
      <c r="G39">
        <v>0.17152426787803599</v>
      </c>
      <c r="H39">
        <v>0.16991419578657618</v>
      </c>
      <c r="I39">
        <v>0.16828041251330417</v>
      </c>
      <c r="J39">
        <v>0.16662234395505537</v>
      </c>
      <c r="K39">
        <v>0.16493939572184035</v>
      </c>
      <c r="L39">
        <v>0.1632309521645432</v>
      </c>
      <c r="M39">
        <v>0.16149637534269967</v>
      </c>
      <c r="N39">
        <v>0.15973500392778872</v>
      </c>
      <c r="O39">
        <v>0.15794615203707285</v>
      </c>
      <c r="P39">
        <v>0.15612910799254043</v>
      </c>
    </row>
    <row r="40" spans="1:30" x14ac:dyDescent="0.35">
      <c r="A40" t="s">
        <v>90</v>
      </c>
      <c r="B40" s="45">
        <f>'YRT Model'!B56</f>
        <v>0.15057226567012472</v>
      </c>
      <c r="C40">
        <v>0.16218466937310438</v>
      </c>
      <c r="D40">
        <v>0.15989947480610867</v>
      </c>
      <c r="E40">
        <v>0.157596031991319</v>
      </c>
      <c r="F40">
        <v>0.1552739528083007</v>
      </c>
      <c r="G40">
        <v>0.15293283582542716</v>
      </c>
      <c r="H40">
        <v>0.15057226567012472</v>
      </c>
      <c r="I40">
        <v>0.14819181236097312</v>
      </c>
      <c r="J40">
        <v>0.14579103059883591</v>
      </c>
      <c r="K40">
        <v>0.14336945901394449</v>
      </c>
      <c r="L40">
        <v>0.14092661936558648</v>
      </c>
      <c r="M40">
        <v>0.13846201569073902</v>
      </c>
      <c r="N40">
        <v>0.13597513339766643</v>
      </c>
      <c r="O40">
        <v>0.13346543830011903</v>
      </c>
      <c r="P40">
        <v>0.13093237558736259</v>
      </c>
    </row>
    <row r="42" spans="1:30" x14ac:dyDescent="0.35">
      <c r="A42" t="s">
        <v>97</v>
      </c>
      <c r="B42">
        <f>10%</f>
        <v>0.1</v>
      </c>
      <c r="C42">
        <v>0.05</v>
      </c>
      <c r="D42">
        <f>C42+0.01</f>
        <v>6.0000000000000005E-2</v>
      </c>
      <c r="E42">
        <f t="shared" ref="E42:P42" si="8">D42+0.01</f>
        <v>7.0000000000000007E-2</v>
      </c>
      <c r="F42">
        <f t="shared" si="8"/>
        <v>0.08</v>
      </c>
      <c r="G42">
        <f t="shared" si="8"/>
        <v>0.09</v>
      </c>
      <c r="H42">
        <f t="shared" si="8"/>
        <v>9.9999999999999992E-2</v>
      </c>
      <c r="I42">
        <f t="shared" si="8"/>
        <v>0.10999999999999999</v>
      </c>
      <c r="J42">
        <f t="shared" si="8"/>
        <v>0.11999999999999998</v>
      </c>
      <c r="K42">
        <f t="shared" si="8"/>
        <v>0.12999999999999998</v>
      </c>
      <c r="L42">
        <f t="shared" si="8"/>
        <v>0.13999999999999999</v>
      </c>
      <c r="M42">
        <f t="shared" si="8"/>
        <v>0.15</v>
      </c>
      <c r="N42">
        <f t="shared" si="8"/>
        <v>0.16</v>
      </c>
      <c r="O42">
        <f t="shared" si="8"/>
        <v>0.17</v>
      </c>
      <c r="P42">
        <f t="shared" si="8"/>
        <v>0.18000000000000002</v>
      </c>
    </row>
    <row r="43" spans="1:30" x14ac:dyDescent="0.35">
      <c r="A43" t="s">
        <v>89</v>
      </c>
      <c r="B43" s="45">
        <f>'LEVEL PREMIUM Model'!B56</f>
        <v>0.16991419578657618</v>
      </c>
      <c r="C43">
        <f t="dataTable" ref="C43:P44" dt2D="0" dtr="1" r1="B42" ca="1"/>
        <v>0.11892489593703992</v>
      </c>
      <c r="D43">
        <v>0.12974711098926273</v>
      </c>
      <c r="E43">
        <v>0.14027011793620403</v>
      </c>
      <c r="F43">
        <v>0.15047843476962264</v>
      </c>
      <c r="G43">
        <v>0.16036175520403351</v>
      </c>
      <c r="H43">
        <v>0.16991419578657618</v>
      </c>
      <c r="I43">
        <v>0.17913355873022341</v>
      </c>
      <c r="J43">
        <v>0.18802064681995168</v>
      </c>
      <c r="K43">
        <v>0.196578650604883</v>
      </c>
      <c r="L43">
        <v>0.20481261612195678</v>
      </c>
      <c r="M43">
        <v>0.2127289932628762</v>
      </c>
      <c r="N43">
        <v>0.22033525987801594</v>
      </c>
      <c r="O43">
        <v>0.22763961401101196</v>
      </c>
      <c r="P43">
        <v>0.23465072555852862</v>
      </c>
    </row>
    <row r="44" spans="1:30" x14ac:dyDescent="0.35">
      <c r="A44" t="s">
        <v>90</v>
      </c>
      <c r="B44" s="45">
        <f>'YRT Model'!B56</f>
        <v>0.15057226567012472</v>
      </c>
      <c r="C44">
        <v>0.18800541463090004</v>
      </c>
      <c r="D44">
        <v>0.18053765381540421</v>
      </c>
      <c r="E44">
        <v>0.17306032793157988</v>
      </c>
      <c r="F44">
        <v>0.16557356278591695</v>
      </c>
      <c r="G44">
        <v>0.15807749362441803</v>
      </c>
      <c r="H44">
        <v>0.15057226567012472</v>
      </c>
      <c r="I44">
        <v>0.14305803469103928</v>
      </c>
      <c r="J44">
        <v>0.13553496760011097</v>
      </c>
      <c r="K44">
        <v>0.12800324308900324</v>
      </c>
      <c r="L44">
        <v>0.12046305229743348</v>
      </c>
      <c r="M44">
        <v>0.11291459951994831</v>
      </c>
      <c r="N44">
        <v>0.10535810295204984</v>
      </c>
      <c r="O44">
        <v>9.7793795477651768E-2</v>
      </c>
      <c r="P44">
        <v>9.0221925499896827E-2</v>
      </c>
    </row>
    <row r="46" spans="1:30" x14ac:dyDescent="0.35">
      <c r="A46" t="s">
        <v>6</v>
      </c>
      <c r="B46">
        <f>4.3%</f>
        <v>4.2999999999999997E-2</v>
      </c>
      <c r="C46">
        <f>0.02</f>
        <v>0.02</v>
      </c>
      <c r="D46">
        <f>C46+0.001</f>
        <v>2.1000000000000001E-2</v>
      </c>
      <c r="E46">
        <f t="shared" ref="E46:AD46" si="9">D46+0.001</f>
        <v>2.2000000000000002E-2</v>
      </c>
      <c r="F46">
        <f t="shared" si="9"/>
        <v>2.3000000000000003E-2</v>
      </c>
      <c r="G46">
        <f t="shared" si="9"/>
        <v>2.4000000000000004E-2</v>
      </c>
      <c r="H46">
        <f t="shared" si="9"/>
        <v>2.5000000000000005E-2</v>
      </c>
      <c r="I46">
        <f t="shared" si="9"/>
        <v>2.6000000000000006E-2</v>
      </c>
      <c r="J46">
        <f t="shared" si="9"/>
        <v>2.7000000000000007E-2</v>
      </c>
      <c r="K46">
        <f t="shared" si="9"/>
        <v>2.8000000000000008E-2</v>
      </c>
      <c r="L46">
        <f t="shared" si="9"/>
        <v>2.9000000000000008E-2</v>
      </c>
      <c r="M46">
        <f t="shared" si="9"/>
        <v>3.0000000000000009E-2</v>
      </c>
      <c r="N46">
        <f t="shared" si="9"/>
        <v>3.100000000000001E-2</v>
      </c>
      <c r="O46">
        <f t="shared" si="9"/>
        <v>3.2000000000000008E-2</v>
      </c>
      <c r="P46">
        <f t="shared" si="9"/>
        <v>3.3000000000000008E-2</v>
      </c>
      <c r="Q46">
        <f t="shared" si="9"/>
        <v>3.4000000000000009E-2</v>
      </c>
      <c r="R46">
        <f t="shared" si="9"/>
        <v>3.500000000000001E-2</v>
      </c>
      <c r="S46">
        <f t="shared" si="9"/>
        <v>3.6000000000000011E-2</v>
      </c>
      <c r="T46">
        <f t="shared" si="9"/>
        <v>3.7000000000000012E-2</v>
      </c>
      <c r="U46">
        <f t="shared" si="9"/>
        <v>3.8000000000000013E-2</v>
      </c>
      <c r="V46">
        <f t="shared" si="9"/>
        <v>3.9000000000000014E-2</v>
      </c>
      <c r="W46">
        <f t="shared" si="9"/>
        <v>4.0000000000000015E-2</v>
      </c>
      <c r="X46">
        <f t="shared" si="9"/>
        <v>4.1000000000000016E-2</v>
      </c>
      <c r="Y46">
        <f t="shared" si="9"/>
        <v>4.2000000000000016E-2</v>
      </c>
      <c r="Z46">
        <f t="shared" si="9"/>
        <v>4.3000000000000017E-2</v>
      </c>
      <c r="AA46">
        <f t="shared" si="9"/>
        <v>4.4000000000000018E-2</v>
      </c>
      <c r="AB46">
        <f t="shared" si="9"/>
        <v>4.5000000000000019E-2</v>
      </c>
      <c r="AC46">
        <f t="shared" si="9"/>
        <v>4.600000000000002E-2</v>
      </c>
      <c r="AD46">
        <f t="shared" si="9"/>
        <v>4.7000000000000021E-2</v>
      </c>
    </row>
    <row r="47" spans="1:30" x14ac:dyDescent="0.35">
      <c r="A47" t="s">
        <v>89</v>
      </c>
      <c r="B47" s="45">
        <f>'LEVEL PREMIUM Model'!B56</f>
        <v>0.16991419578657618</v>
      </c>
      <c r="C47">
        <f t="dataTable" ref="C47:AD48" dt2D="0" dtr="1" r1="B46" ca="1"/>
        <v>0.11367100085752657</v>
      </c>
      <c r="D47">
        <v>0.11616022390723879</v>
      </c>
      <c r="E47">
        <v>0.11864543495134483</v>
      </c>
      <c r="F47">
        <v>0.12112663290744319</v>
      </c>
      <c r="G47">
        <v>0.12360381773361317</v>
      </c>
      <c r="H47">
        <v>0.1260769903901835</v>
      </c>
      <c r="I47">
        <v>0.1285461528024272</v>
      </c>
      <c r="J47">
        <v>0.1310113078241808</v>
      </c>
      <c r="K47">
        <v>0.13347245920238704</v>
      </c>
      <c r="L47">
        <v>0.13592961154254701</v>
      </c>
      <c r="M47">
        <v>0.13838277027507861</v>
      </c>
      <c r="N47">
        <v>0.14083194162256985</v>
      </c>
      <c r="O47">
        <v>0.14327713256791874</v>
      </c>
      <c r="P47">
        <v>0.14571835082334594</v>
      </c>
      <c r="Q47">
        <v>0.1481556048002719</v>
      </c>
      <c r="R47">
        <v>0.15058890358004384</v>
      </c>
      <c r="S47">
        <v>0.15301825688549875</v>
      </c>
      <c r="T47">
        <v>0.15544367505335188</v>
      </c>
      <c r="U47">
        <v>0.15786516900739445</v>
      </c>
      <c r="V47">
        <v>0.16028275023248639</v>
      </c>
      <c r="W47">
        <v>0.16269643074932971</v>
      </c>
      <c r="X47">
        <v>0.16510622309000866</v>
      </c>
      <c r="Y47">
        <v>0.16751214027427452</v>
      </c>
      <c r="Z47">
        <v>0.16991419578657618</v>
      </c>
      <c r="AA47">
        <v>0.17231240355379773</v>
      </c>
      <c r="AB47">
        <v>0.17470677792370748</v>
      </c>
      <c r="AC47">
        <v>0.17709733364409175</v>
      </c>
      <c r="AD47">
        <v>0.17948408584256104</v>
      </c>
    </row>
    <row r="48" spans="1:30" x14ac:dyDescent="0.35">
      <c r="A48" t="s">
        <v>90</v>
      </c>
      <c r="B48" s="45">
        <f>'YRT Model'!B56</f>
        <v>0.15057226567012472</v>
      </c>
      <c r="C48">
        <v>0.13151609124504926</v>
      </c>
      <c r="D48">
        <v>0.13235815027938291</v>
      </c>
      <c r="E48">
        <v>0.13319894698934664</v>
      </c>
      <c r="F48">
        <v>0.13403848610996949</v>
      </c>
      <c r="G48">
        <v>0.13487677235329132</v>
      </c>
      <c r="H48">
        <v>0.13571381040843322</v>
      </c>
      <c r="I48">
        <v>0.1365496049416739</v>
      </c>
      <c r="J48">
        <v>0.1373841605965207</v>
      </c>
      <c r="K48">
        <v>0.13821748199378869</v>
      </c>
      <c r="L48">
        <v>0.13904957373167504</v>
      </c>
      <c r="M48">
        <v>0.13988044038583625</v>
      </c>
      <c r="N48">
        <v>0.14071008650946992</v>
      </c>
      <c r="O48">
        <v>0.14153851663339001</v>
      </c>
      <c r="P48">
        <v>0.14236573526611096</v>
      </c>
      <c r="Q48">
        <v>0.14319174689392633</v>
      </c>
      <c r="R48">
        <v>0.14401655598099228</v>
      </c>
      <c r="S48">
        <v>0.14484016696941082</v>
      </c>
      <c r="T48">
        <v>0.14566258427931089</v>
      </c>
      <c r="U48">
        <v>0.14648381230893648</v>
      </c>
      <c r="V48">
        <v>0.14730385543472857</v>
      </c>
      <c r="W48">
        <v>0.14812271801141152</v>
      </c>
      <c r="X48">
        <v>0.14894040437208056</v>
      </c>
      <c r="Y48">
        <v>0.14975691882828635</v>
      </c>
      <c r="Z48">
        <v>0.15057226567012494</v>
      </c>
      <c r="AA48">
        <v>0.15138644916632304</v>
      </c>
      <c r="AB48">
        <v>0.15219947356432861</v>
      </c>
      <c r="AC48">
        <v>0.15301134309039832</v>
      </c>
      <c r="AD48">
        <v>0.15382206194968751</v>
      </c>
    </row>
    <row r="51" spans="1:23" x14ac:dyDescent="0.35">
      <c r="A51" t="s">
        <v>99</v>
      </c>
      <c r="D51" t="s">
        <v>100</v>
      </c>
    </row>
    <row r="52" spans="1:23" x14ac:dyDescent="0.35">
      <c r="A52" t="s">
        <v>6</v>
      </c>
      <c r="B52" s="45">
        <f>'LEVEL PREMIUM Model'!B56</f>
        <v>0.16991419578657618</v>
      </c>
      <c r="C52">
        <v>0.8</v>
      </c>
      <c r="D52">
        <f>C52+0.02</f>
        <v>0.82000000000000006</v>
      </c>
      <c r="E52">
        <f t="shared" ref="E52:W52" si="10">D52+0.02</f>
        <v>0.84000000000000008</v>
      </c>
      <c r="F52">
        <f t="shared" si="10"/>
        <v>0.8600000000000001</v>
      </c>
      <c r="G52">
        <f t="shared" si="10"/>
        <v>0.88000000000000012</v>
      </c>
      <c r="H52">
        <f t="shared" si="10"/>
        <v>0.90000000000000013</v>
      </c>
      <c r="I52">
        <f t="shared" si="10"/>
        <v>0.92000000000000015</v>
      </c>
      <c r="J52">
        <f t="shared" si="10"/>
        <v>0.94000000000000017</v>
      </c>
      <c r="K52">
        <f t="shared" si="10"/>
        <v>0.96000000000000019</v>
      </c>
      <c r="L52">
        <f t="shared" si="10"/>
        <v>0.9800000000000002</v>
      </c>
      <c r="M52">
        <f t="shared" si="10"/>
        <v>1.0000000000000002</v>
      </c>
      <c r="N52">
        <f t="shared" si="10"/>
        <v>1.0200000000000002</v>
      </c>
      <c r="O52">
        <f t="shared" si="10"/>
        <v>1.0400000000000003</v>
      </c>
      <c r="P52">
        <f t="shared" si="10"/>
        <v>1.0600000000000003</v>
      </c>
      <c r="Q52">
        <f t="shared" si="10"/>
        <v>1.0800000000000003</v>
      </c>
      <c r="R52">
        <f t="shared" si="10"/>
        <v>1.1000000000000003</v>
      </c>
      <c r="S52">
        <f t="shared" si="10"/>
        <v>1.1200000000000003</v>
      </c>
      <c r="T52">
        <f t="shared" si="10"/>
        <v>1.1400000000000003</v>
      </c>
      <c r="U52">
        <f t="shared" si="10"/>
        <v>1.1600000000000004</v>
      </c>
      <c r="V52">
        <f t="shared" si="10"/>
        <v>1.1800000000000004</v>
      </c>
      <c r="W52">
        <f t="shared" si="10"/>
        <v>1.2000000000000004</v>
      </c>
    </row>
    <row r="53" spans="1:23" x14ac:dyDescent="0.35">
      <c r="B53" s="45">
        <f>3%</f>
        <v>0.03</v>
      </c>
      <c r="C53" s="45">
        <f t="dataTable" ref="C53:W68" dt2D="1" dtr="1" r1="B30" r2="B46" ca="1"/>
        <v>0.38077441625553976</v>
      </c>
      <c r="D53" s="45">
        <v>0.35526746288116806</v>
      </c>
      <c r="E53" s="45">
        <v>0.33020602437262347</v>
      </c>
      <c r="F53" s="45">
        <v>0.30552885261272289</v>
      </c>
      <c r="G53" s="45">
        <v>0.28117528805324432</v>
      </c>
      <c r="H53" s="45">
        <v>0.25708469668326384</v>
      </c>
      <c r="I53" s="45">
        <v>0.23319589485815428</v>
      </c>
      <c r="J53" s="45">
        <v>0.20944656166509268</v>
      </c>
      <c r="K53" s="45">
        <v>0.18577264540832306</v>
      </c>
      <c r="L53" s="45">
        <v>0.16210778282003968</v>
      </c>
      <c r="M53" s="45">
        <v>0.13838277027507839</v>
      </c>
      <c r="N53" s="45">
        <v>0.11452516135424684</v>
      </c>
      <c r="O53" s="45">
        <v>9.0459123658311213E-2</v>
      </c>
      <c r="P53" s="45">
        <v>6.6105783560628462E-2</v>
      </c>
      <c r="Q53" s="45">
        <v>4.1384439517555327E-2</v>
      </c>
      <c r="R53" s="45">
        <v>1.6215253605287527E-2</v>
      </c>
      <c r="S53" s="45">
        <v>-9.4756542762589602E-3</v>
      </c>
      <c r="T53" s="45">
        <v>-3.5747430848373285E-2</v>
      </c>
      <c r="U53" s="45">
        <v>-6.2630558979078765E-2</v>
      </c>
      <c r="V53" s="45">
        <v>-9.0106780418332089E-2</v>
      </c>
      <c r="W53" s="45">
        <v>-0.11808399411013948</v>
      </c>
    </row>
    <row r="54" spans="1:23" x14ac:dyDescent="0.35">
      <c r="B54" s="45">
        <f t="shared" ref="B54:B68" si="11">B53+0.002</f>
        <v>3.2000000000000001E-2</v>
      </c>
      <c r="C54" s="45">
        <v>0.38570784839109939</v>
      </c>
      <c r="D54" s="45">
        <v>0.36016133920548365</v>
      </c>
      <c r="E54" s="45">
        <v>0.33506768024662237</v>
      </c>
      <c r="F54" s="45">
        <v>0.31036574860128474</v>
      </c>
      <c r="G54" s="45">
        <v>0.28599506497571348</v>
      </c>
      <c r="H54" s="45">
        <v>0.26189523176019636</v>
      </c>
      <c r="I54" s="45">
        <v>0.23800535770380549</v>
      </c>
      <c r="J54" s="45">
        <v>0.21426346755674164</v>
      </c>
      <c r="K54" s="45">
        <v>0.19060590110033582</v>
      </c>
      <c r="L54" s="45">
        <v>0.16696671664462803</v>
      </c>
      <c r="M54" s="45">
        <v>0.1432771325679183</v>
      </c>
      <c r="N54" s="45">
        <v>0.11946507210828616</v>
      </c>
      <c r="O54" s="45">
        <v>9.5454929900298913E-2</v>
      </c>
      <c r="P54" s="45">
        <v>7.1167766778250208E-2</v>
      </c>
      <c r="Q54" s="45">
        <v>4.6522280812430816E-2</v>
      </c>
      <c r="R54" s="45">
        <v>2.1437119885648004E-2</v>
      </c>
      <c r="S54" s="45">
        <v>-4.1645904074917306E-3</v>
      </c>
      <c r="T54" s="45">
        <v>-3.0347257613664635E-2</v>
      </c>
      <c r="U54" s="45">
        <v>-5.7149847624858752E-2</v>
      </c>
      <c r="V54" s="45">
        <v>-8.4566664863239049E-2</v>
      </c>
      <c r="W54" s="45">
        <v>-0.11252234627717594</v>
      </c>
    </row>
    <row r="55" spans="1:23" x14ac:dyDescent="0.35">
      <c r="B55" s="45">
        <f t="shared" si="11"/>
        <v>3.4000000000000002E-2</v>
      </c>
      <c r="C55" s="45">
        <v>0.39063459038690462</v>
      </c>
      <c r="D55" s="45">
        <v>0.36504783171235311</v>
      </c>
      <c r="E55" s="45">
        <v>0.33992121474399539</v>
      </c>
      <c r="F55" s="45">
        <v>0.31519373743329937</v>
      </c>
      <c r="G55" s="45">
        <v>0.29080509668734211</v>
      </c>
      <c r="H55" s="45">
        <v>0.26669512792284511</v>
      </c>
      <c r="I55" s="45">
        <v>0.24280323023027006</v>
      </c>
      <c r="J55" s="45">
        <v>0.21906777432630853</v>
      </c>
      <c r="K55" s="45">
        <v>0.19542549576742951</v>
      </c>
      <c r="L55" s="45">
        <v>0.17181088531093658</v>
      </c>
      <c r="M55" s="45">
        <v>0.1481556048002719</v>
      </c>
      <c r="N55" s="45">
        <v>0.12438798540377993</v>
      </c>
      <c r="O55" s="45">
        <v>0.10043271336974358</v>
      </c>
      <c r="P55" s="45">
        <v>7.6210889076354649E-2</v>
      </c>
      <c r="Q55" s="45">
        <v>5.1640776259183063E-2</v>
      </c>
      <c r="R55" s="45">
        <v>2.6639763239084235E-2</v>
      </c>
      <c r="S55" s="45">
        <v>1.1283571096689649E-3</v>
      </c>
      <c r="T55" s="45">
        <v>-2.4962586504752027E-2</v>
      </c>
      <c r="U55" s="45">
        <v>-5.1679851412018141E-2</v>
      </c>
      <c r="V55" s="45">
        <v>-7.9029596559437643E-2</v>
      </c>
      <c r="W55" s="45">
        <v>-0.10695271178084753</v>
      </c>
    </row>
    <row r="56" spans="1:23" x14ac:dyDescent="0.35">
      <c r="B56" s="45">
        <f t="shared" si="11"/>
        <v>3.6000000000000004E-2</v>
      </c>
      <c r="C56" s="45">
        <v>0.39555471044668189</v>
      </c>
      <c r="D56" s="45">
        <v>0.36992701425000618</v>
      </c>
      <c r="E56" s="45">
        <v>0.34476670746308402</v>
      </c>
      <c r="F56" s="45">
        <v>0.32001290438814012</v>
      </c>
      <c r="G56" s="45">
        <v>0.2956054738086793</v>
      </c>
      <c r="H56" s="45">
        <v>0.2714844803790375</v>
      </c>
      <c r="I56" s="45">
        <v>0.24758961085125386</v>
      </c>
      <c r="J56" s="45">
        <v>0.22385958126644812</v>
      </c>
      <c r="K56" s="45">
        <v>0.20023152583506421</v>
      </c>
      <c r="L56" s="45">
        <v>0.17664037650726128</v>
      </c>
      <c r="M56" s="45">
        <v>0.1530182568854983</v>
      </c>
      <c r="N56" s="45">
        <v>0.12929393963995017</v>
      </c>
      <c r="O56" s="45">
        <v>0.10539246029553229</v>
      </c>
      <c r="P56" s="45">
        <v>8.123505383786811E-2</v>
      </c>
      <c r="Q56" s="45">
        <v>5.6739701603449877E-2</v>
      </c>
      <c r="R56" s="45">
        <v>3.1822768070050467E-2</v>
      </c>
      <c r="S56" s="45">
        <v>6.4024946093959034E-3</v>
      </c>
      <c r="T56" s="45">
        <v>-1.9594498652570125E-2</v>
      </c>
      <c r="U56" s="45">
        <v>-4.6222158203613861E-2</v>
      </c>
      <c r="V56" s="45">
        <v>-7.3497761574042642E-2</v>
      </c>
      <c r="W56" s="45">
        <v>-0.10137786623717493</v>
      </c>
    </row>
    <row r="57" spans="1:23" x14ac:dyDescent="0.35">
      <c r="B57" s="45">
        <f t="shared" si="11"/>
        <v>3.8000000000000006E-2</v>
      </c>
      <c r="C57" s="45">
        <v>0.40046827727480694</v>
      </c>
      <c r="D57" s="45">
        <v>0.37479896129885071</v>
      </c>
      <c r="E57" s="45">
        <v>0.34960423882291414</v>
      </c>
      <c r="F57" s="45">
        <v>0.32482333583323153</v>
      </c>
      <c r="G57" s="45">
        <v>0.30039628842529686</v>
      </c>
      <c r="H57" s="45">
        <v>0.2762633863315811</v>
      </c>
      <c r="I57" s="45">
        <v>0.25236460071989697</v>
      </c>
      <c r="J57" s="45">
        <v>0.22863899145574318</v>
      </c>
      <c r="K57" s="45">
        <v>0.2050240929879259</v>
      </c>
      <c r="L57" s="45">
        <v>0.18145528525885579</v>
      </c>
      <c r="M57" s="45">
        <v>0.15786516900739422</v>
      </c>
      <c r="N57" s="45">
        <v>0.13418298762628256</v>
      </c>
      <c r="O57" s="45">
        <v>0.11033417713853977</v>
      </c>
      <c r="P57" s="45">
        <v>8.624019279215922E-2</v>
      </c>
      <c r="Q57" s="45">
        <v>6.1818872045497075E-2</v>
      </c>
      <c r="R57" s="45">
        <v>3.6985772939271522E-2</v>
      </c>
      <c r="S57" s="45">
        <v>1.1657200861142192E-2</v>
      </c>
      <c r="T57" s="45">
        <v>-1.4243982635557928E-2</v>
      </c>
      <c r="U57" s="45">
        <v>-4.0778246705967192E-2</v>
      </c>
      <c r="V57" s="45">
        <v>-6.797323477095607E-2</v>
      </c>
      <c r="W57" s="45">
        <v>-9.5800502791434594E-2</v>
      </c>
    </row>
    <row r="58" spans="1:23" x14ac:dyDescent="0.35">
      <c r="B58" s="45">
        <f t="shared" si="11"/>
        <v>4.0000000000000008E-2</v>
      </c>
      <c r="C58" s="45">
        <v>0.40537535999652885</v>
      </c>
      <c r="D58" s="45">
        <v>0.37966374787562462</v>
      </c>
      <c r="E58" s="45">
        <v>0.35443388994642544</v>
      </c>
      <c r="F58" s="45">
        <v>0.3296251190798769</v>
      </c>
      <c r="G58" s="45">
        <v>0.3051776339074439</v>
      </c>
      <c r="H58" s="45">
        <v>0.28103194474982063</v>
      </c>
      <c r="I58" s="45">
        <v>0.25712830343594884</v>
      </c>
      <c r="J58" s="45">
        <v>0.23340611137916367</v>
      </c>
      <c r="K58" s="45">
        <v>0.20980330367309219</v>
      </c>
      <c r="L58" s="45">
        <v>0.18625571327211499</v>
      </c>
      <c r="M58" s="45">
        <v>0.16269643074932949</v>
      </c>
      <c r="N58" s="45">
        <v>0.13905519542321021</v>
      </c>
      <c r="O58" s="45">
        <v>0.11525788905274514</v>
      </c>
      <c r="P58" s="45">
        <v>9.1226263995570989E-2</v>
      </c>
      <c r="Q58" s="45">
        <v>6.6878139657334135E-2</v>
      </c>
      <c r="R58" s="45">
        <v>4.2128467425145644E-2</v>
      </c>
      <c r="S58" s="45">
        <v>1.689192362903591E-2</v>
      </c>
      <c r="T58" s="45">
        <v>-8.9119374440768118E-3</v>
      </c>
      <c r="U58" s="45">
        <v>-3.5349487286895798E-2</v>
      </c>
      <c r="V58" s="45">
        <v>-6.2457975772118535E-2</v>
      </c>
      <c r="W58" s="45">
        <v>-9.0223220352386724E-2</v>
      </c>
    </row>
    <row r="59" spans="1:23" x14ac:dyDescent="0.35">
      <c r="B59" s="45">
        <f t="shared" si="11"/>
        <v>4.200000000000001E-2</v>
      </c>
      <c r="C59" s="45">
        <v>0.4102760280829838</v>
      </c>
      <c r="D59" s="45">
        <v>0.3845214494433693</v>
      </c>
      <c r="E59" s="45">
        <v>0.35925574255089043</v>
      </c>
      <c r="F59" s="45">
        <v>0.33441834224804157</v>
      </c>
      <c r="G59" s="45">
        <v>0.30994960474097333</v>
      </c>
      <c r="H59" s="45">
        <v>0.28579025615551679</v>
      </c>
      <c r="I59" s="45">
        <v>0.26188082477127228</v>
      </c>
      <c r="J59" s="45">
        <v>0.23816105057216275</v>
      </c>
      <c r="K59" s="45">
        <v>0.21456926863378256</v>
      </c>
      <c r="L59" s="45">
        <v>0.19104176831834119</v>
      </c>
      <c r="M59" s="45">
        <v>0.1675121402742743</v>
      </c>
      <c r="N59" s="45">
        <v>0.1439106412471054</v>
      </c>
      <c r="O59" s="45">
        <v>0.12016363842475819</v>
      </c>
      <c r="P59" s="45">
        <v>9.6193249900710986E-2</v>
      </c>
      <c r="Q59" s="45">
        <v>7.1917390884585597E-2</v>
      </c>
      <c r="R59" s="45">
        <v>4.7250589029233181E-2</v>
      </c>
      <c r="S59" s="45">
        <v>2.2106176157256519E-2</v>
      </c>
      <c r="T59" s="45">
        <v>-3.5991757739054497E-3</v>
      </c>
      <c r="U59" s="45">
        <v>-2.9937143562679069E-2</v>
      </c>
      <c r="V59" s="45">
        <v>-5.6953826241332606E-2</v>
      </c>
      <c r="W59" s="45">
        <v>-8.4648513446781148E-2</v>
      </c>
    </row>
    <row r="60" spans="1:23" x14ac:dyDescent="0.35">
      <c r="B60" s="45">
        <f t="shared" si="11"/>
        <v>4.4000000000000011E-2</v>
      </c>
      <c r="C60" s="45">
        <v>0.41517035128074387</v>
      </c>
      <c r="D60" s="45">
        <v>0.38937214182693936</v>
      </c>
      <c r="E60" s="45">
        <v>0.36406987884515485</v>
      </c>
      <c r="F60" s="45">
        <v>0.33920309413962979</v>
      </c>
      <c r="G60" s="45">
        <v>0.31471229636895703</v>
      </c>
      <c r="H60" s="45">
        <v>0.29053842242230377</v>
      </c>
      <c r="I60" s="45">
        <v>0.26662227241276248</v>
      </c>
      <c r="J60" s="45">
        <v>0.24290392128724392</v>
      </c>
      <c r="K60" s="45">
        <v>0.21932210247226491</v>
      </c>
      <c r="L60" s="45">
        <v>0.19581356365538194</v>
      </c>
      <c r="M60" s="45">
        <v>0.17231240355379751</v>
      </c>
      <c r="N60" s="45">
        <v>0.14874941443777034</v>
      </c>
      <c r="O60" s="45">
        <v>0.12505148349074768</v>
      </c>
      <c r="P60" s="45">
        <v>0.10114115551596359</v>
      </c>
      <c r="Q60" s="45">
        <v>7.6936544140359109E-2</v>
      </c>
      <c r="R60" s="45">
        <v>5.2351920144860342E-2</v>
      </c>
      <c r="S60" s="45">
        <v>2.7299533621497174E-2</v>
      </c>
      <c r="T60" s="45">
        <v>1.6935724221138759E-3</v>
      </c>
      <c r="U60" s="45">
        <v>-2.4542374654421217E-2</v>
      </c>
      <c r="V60" s="45">
        <v>-5.1462508406390883E-2</v>
      </c>
      <c r="W60" s="45">
        <v>-7.9078763735543012E-2</v>
      </c>
    </row>
    <row r="61" spans="1:23" x14ac:dyDescent="0.35">
      <c r="B61" s="45">
        <f t="shared" si="11"/>
        <v>4.6000000000000013E-2</v>
      </c>
      <c r="C61" s="45">
        <v>0.42005839954568547</v>
      </c>
      <c r="D61" s="45">
        <v>0.3942159011337758</v>
      </c>
      <c r="E61" s="45">
        <v>0.36887638143334534</v>
      </c>
      <c r="F61" s="45">
        <v>0.34397946411981728</v>
      </c>
      <c r="G61" s="45">
        <v>0.31946580504343824</v>
      </c>
      <c r="H61" s="45">
        <v>0.29527654658803115</v>
      </c>
      <c r="I61" s="45">
        <v>0.27135275572178541</v>
      </c>
      <c r="J61" s="45">
        <v>0.2476348381818867</v>
      </c>
      <c r="K61" s="45">
        <v>0.22406192324051721</v>
      </c>
      <c r="L61" s="45">
        <v>0.20057121748543016</v>
      </c>
      <c r="M61" s="45">
        <v>0.17709733364409153</v>
      </c>
      <c r="N61" s="45">
        <v>0.1535716144864161</v>
      </c>
      <c r="O61" s="45">
        <v>0.12992149702934386</v>
      </c>
      <c r="P61" s="45">
        <v>0.10607000665572719</v>
      </c>
      <c r="Q61" s="45">
        <v>8.1935547496470917E-2</v>
      </c>
      <c r="R61" s="45">
        <v>5.7432285104568548E-2</v>
      </c>
      <c r="S61" s="45">
        <v>3.2471629581583672E-2</v>
      </c>
      <c r="T61" s="45">
        <v>6.9656561895818925E-3</v>
      </c>
      <c r="U61" s="45">
        <v>-1.916623801559203E-2</v>
      </c>
      <c r="V61" s="45">
        <v>-4.598562472065737E-2</v>
      </c>
      <c r="W61" s="45">
        <v>-7.3516233192959746E-2</v>
      </c>
    </row>
    <row r="62" spans="1:23" x14ac:dyDescent="0.35">
      <c r="B62" s="45">
        <f t="shared" si="11"/>
        <v>4.8000000000000015E-2</v>
      </c>
      <c r="C62" s="45">
        <v>0.42494024298095545</v>
      </c>
      <c r="D62" s="45">
        <v>0.39905280367965346</v>
      </c>
      <c r="E62" s="45">
        <v>0.37367533322471491</v>
      </c>
      <c r="F62" s="45">
        <v>0.34874754200602287</v>
      </c>
      <c r="G62" s="45">
        <v>0.32421022768678509</v>
      </c>
      <c r="H62" s="45">
        <v>0.30000473267930761</v>
      </c>
      <c r="I62" s="45">
        <v>0.27607238550926727</v>
      </c>
      <c r="J62" s="45">
        <v>0.25235391802671914</v>
      </c>
      <c r="K62" s="45">
        <v>0.22878885205725652</v>
      </c>
      <c r="L62" s="45">
        <v>0.20531485244729786</v>
      </c>
      <c r="M62" s="45">
        <v>0.18186705000701209</v>
      </c>
      <c r="N62" s="45">
        <v>0.15837735012199472</v>
      </c>
      <c r="O62" s="45">
        <v>0.13477376512868022</v>
      </c>
      <c r="P62" s="45">
        <v>0.11097984828107066</v>
      </c>
      <c r="Q62" s="45">
        <v>8.6914376475743849E-2</v>
      </c>
      <c r="R62" s="45">
        <v>6.2491547319102114E-2</v>
      </c>
      <c r="S62" s="45">
        <v>3.7622152465472514E-2</v>
      </c>
      <c r="T62" s="45">
        <v>1.2216499694462035E-2</v>
      </c>
      <c r="U62" s="45">
        <v>-1.38096927356538E-2</v>
      </c>
      <c r="V62" s="45">
        <v>-4.0524658555062154E-2</v>
      </c>
      <c r="W62" s="45">
        <v>-6.7963058914171537E-2</v>
      </c>
    </row>
    <row r="63" spans="1:23" x14ac:dyDescent="0.35">
      <c r="B63" s="45">
        <f t="shared" si="11"/>
        <v>5.0000000000000017E-2</v>
      </c>
      <c r="C63" s="45">
        <v>0.42981595177882426</v>
      </c>
      <c r="D63" s="45">
        <v>0.40388292591916541</v>
      </c>
      <c r="E63" s="45">
        <v>0.37846681734930421</v>
      </c>
      <c r="F63" s="45">
        <v>0.35350741796409979</v>
      </c>
      <c r="G63" s="45">
        <v>0.32894566176213647</v>
      </c>
      <c r="H63" s="45">
        <v>0.30472308554759531</v>
      </c>
      <c r="I63" s="45">
        <v>0.28078127382561657</v>
      </c>
      <c r="J63" s="45">
        <v>0.25706127943288593</v>
      </c>
      <c r="K63" s="45">
        <v>0.23350301275000351</v>
      </c>
      <c r="L63" s="45">
        <v>0.21004459514147955</v>
      </c>
      <c r="M63" s="45">
        <v>0.18662167787412631</v>
      </c>
      <c r="N63" s="45">
        <v>0.16316673845362661</v>
      </c>
      <c r="O63" s="45">
        <v>0.13960838602548997</v>
      </c>
      <c r="P63" s="45">
        <v>0.11587074292978095</v>
      </c>
      <c r="Q63" s="45">
        <v>9.1873031947648842E-2</v>
      </c>
      <c r="R63" s="45">
        <v>6.752960651793205E-2</v>
      </c>
      <c r="S63" s="45">
        <v>4.2750842110294229E-2</v>
      </c>
      <c r="T63" s="45">
        <v>1.7445598264451911E-2</v>
      </c>
      <c r="U63" s="45">
        <v>-8.4736032294498997E-3</v>
      </c>
      <c r="V63" s="45">
        <v>-3.5080975805341974E-2</v>
      </c>
      <c r="W63" s="45">
        <v>-6.2421249485207331E-2</v>
      </c>
    </row>
    <row r="64" spans="1:23" x14ac:dyDescent="0.35">
      <c r="B64" s="45">
        <f t="shared" si="11"/>
        <v>5.2000000000000018E-2</v>
      </c>
      <c r="C64" s="45">
        <v>0.43468559616623459</v>
      </c>
      <c r="D64" s="45">
        <v>0.40870634438068398</v>
      </c>
      <c r="E64" s="45">
        <v>0.38325091707910497</v>
      </c>
      <c r="F64" s="45">
        <v>0.35825918241138477</v>
      </c>
      <c r="G64" s="45">
        <v>0.33367220515244789</v>
      </c>
      <c r="H64" s="45">
        <v>0.30943171071623476</v>
      </c>
      <c r="I64" s="45">
        <v>0.28547953376466206</v>
      </c>
      <c r="J64" s="45">
        <v>0.2617570425975857</v>
      </c>
      <c r="K64" s="45">
        <v>0.23820453152086607</v>
      </c>
      <c r="L64" s="45">
        <v>0.21476057568637175</v>
      </c>
      <c r="M64" s="45">
        <v>0.19136134765175972</v>
      </c>
      <c r="N64" s="45">
        <v>0.16793990416680993</v>
      </c>
      <c r="O64" s="45">
        <v>0.14442546901386977</v>
      </c>
      <c r="P64" s="45">
        <v>0.12074276923422778</v>
      </c>
      <c r="Q64" s="45">
        <v>9.6811538128314556E-2</v>
      </c>
      <c r="R64" s="45">
        <v>7.2546396098846389E-2</v>
      </c>
      <c r="S64" s="45">
        <v>4.7857486381837733E-2</v>
      </c>
      <c r="T64" s="45">
        <v>2.265251439661653E-2</v>
      </c>
      <c r="U64" s="45">
        <v>-3.1587432279672756E-3</v>
      </c>
      <c r="V64" s="45">
        <v>-2.9655827296923398E-2</v>
      </c>
      <c r="W64" s="45">
        <v>-5.6892682824185026E-2</v>
      </c>
    </row>
    <row r="65" spans="1:23" x14ac:dyDescent="0.35">
      <c r="B65" s="45">
        <f t="shared" si="11"/>
        <v>5.400000000000002E-2</v>
      </c>
      <c r="C65" s="45">
        <v>0.43954924635384396</v>
      </c>
      <c r="D65" s="45">
        <v>0.41352313560557286</v>
      </c>
      <c r="E65" s="45">
        <v>0.38802771575444295</v>
      </c>
      <c r="F65" s="45">
        <v>0.3630029259262082</v>
      </c>
      <c r="G65" s="45">
        <v>0.33838995604766997</v>
      </c>
      <c r="H65" s="45">
        <v>0.31413071423779448</v>
      </c>
      <c r="I65" s="45">
        <v>0.29016727928085806</v>
      </c>
      <c r="J65" s="45">
        <v>0.26644132906679596</v>
      </c>
      <c r="K65" s="45">
        <v>0.24289353663478752</v>
      </c>
      <c r="L65" s="45">
        <v>0.21946292730403805</v>
      </c>
      <c r="M65" s="45">
        <v>0.19608619436504293</v>
      </c>
      <c r="N65" s="45">
        <v>0.17269697877104551</v>
      </c>
      <c r="O65" s="45">
        <v>0.14922513342122734</v>
      </c>
      <c r="P65" s="45">
        <v>0.12559602052497643</v>
      </c>
      <c r="Q65" s="45">
        <v>0.10172994068487484</v>
      </c>
      <c r="R65" s="45">
        <v>7.7541880592019385E-2</v>
      </c>
      <c r="S65" s="45">
        <v>5.2941917889965273E-2</v>
      </c>
      <c r="T65" s="45">
        <v>2.7836873772005166E-2</v>
      </c>
      <c r="U65" s="45">
        <v>2.1342000070925238E-3</v>
      </c>
      <c r="V65" s="45">
        <v>-2.425035187056368E-2</v>
      </c>
      <c r="W65" s="45">
        <v>-5.1379105382361789E-2</v>
      </c>
    </row>
    <row r="66" spans="1:23" x14ac:dyDescent="0.35">
      <c r="B66" s="45">
        <f t="shared" si="11"/>
        <v>5.6000000000000022E-2</v>
      </c>
      <c r="C66" s="45">
        <v>0.44440697248839123</v>
      </c>
      <c r="D66" s="45">
        <v>0.41833337609141785</v>
      </c>
      <c r="E66" s="45">
        <v>0.3927972967152833</v>
      </c>
      <c r="F66" s="45">
        <v>0.36773873916353561</v>
      </c>
      <c r="G66" s="45">
        <v>0.34309901283961364</v>
      </c>
      <c r="H66" s="45">
        <v>0.31882020256118349</v>
      </c>
      <c r="I66" s="45">
        <v>0.29484462501900688</v>
      </c>
      <c r="J66" s="45">
        <v>0.27111426151422502</v>
      </c>
      <c r="K66" s="45">
        <v>0.24757015812902572</v>
      </c>
      <c r="L66" s="45">
        <v>0.22415178593395879</v>
      </c>
      <c r="M66" s="45">
        <v>0.20079635713900834</v>
      </c>
      <c r="N66" s="45">
        <v>0.17743809989651571</v>
      </c>
      <c r="O66" s="45">
        <v>0.15400750764872595</v>
      </c>
      <c r="P66" s="45">
        <v>0.13043060351771785</v>
      </c>
      <c r="Q66" s="45">
        <v>0.10662830494322173</v>
      </c>
      <c r="R66" s="45">
        <v>8.2516053242075227E-2</v>
      </c>
      <c r="S66" s="45">
        <v>5.800401081389861E-2</v>
      </c>
      <c r="T66" s="45">
        <v>3.2998361312147173E-2</v>
      </c>
      <c r="U66" s="45">
        <v>7.4046213151928164E-3</v>
      </c>
      <c r="V66" s="45">
        <v>-1.8865580035226759E-2</v>
      </c>
      <c r="W66" s="45">
        <v>-4.5882132579333379E-2</v>
      </c>
    </row>
    <row r="67" spans="1:23" x14ac:dyDescent="0.35">
      <c r="B67" s="45">
        <f t="shared" si="11"/>
        <v>5.8000000000000024E-2</v>
      </c>
      <c r="C67" s="45">
        <v>0.44925884460820154</v>
      </c>
      <c r="D67" s="45">
        <v>0.42313714223906751</v>
      </c>
      <c r="E67" s="45">
        <v>0.3975597432372191</v>
      </c>
      <c r="F67" s="45">
        <v>0.37246671277639098</v>
      </c>
      <c r="G67" s="45">
        <v>0.34779947402407374</v>
      </c>
      <c r="H67" s="45">
        <v>0.32350028240797246</v>
      </c>
      <c r="I67" s="45">
        <v>0.29951168615580581</v>
      </c>
      <c r="J67" s="45">
        <v>0.27577596353560163</v>
      </c>
      <c r="K67" s="45">
        <v>0.25223452754270625</v>
      </c>
      <c r="L67" s="45">
        <v>0.22882728987325418</v>
      </c>
      <c r="M67" s="45">
        <v>0.20549197871479974</v>
      </c>
      <c r="N67" s="45">
        <v>0.18216341063743346</v>
      </c>
      <c r="O67" s="45">
        <v>0.15877272827351252</v>
      </c>
      <c r="P67" s="45">
        <v>0.13524663708077167</v>
      </c>
      <c r="Q67" s="45">
        <v>0.11150671419749281</v>
      </c>
      <c r="R67" s="45">
        <v>8.7468933710041163E-2</v>
      </c>
      <c r="S67" s="45">
        <v>6.3043677848125146E-2</v>
      </c>
      <c r="T67" s="45">
        <v>3.813671730683188E-2</v>
      </c>
      <c r="U67" s="45">
        <v>1.2651993177991816E-2</v>
      </c>
      <c r="V67" s="45">
        <v>-1.3502438080145951E-2</v>
      </c>
      <c r="W67" s="45">
        <v>-4.0403250337602503E-2</v>
      </c>
    </row>
    <row r="68" spans="1:23" x14ac:dyDescent="0.35">
      <c r="B68" s="45">
        <f t="shared" si="11"/>
        <v>6.0000000000000026E-2</v>
      </c>
      <c r="C68" s="45">
        <v>0.45410493260167728</v>
      </c>
      <c r="D68" s="45">
        <v>0.42793451030327501</v>
      </c>
      <c r="E68" s="45">
        <v>0.40231513847185463</v>
      </c>
      <c r="F68" s="45">
        <v>0.37718693734274544</v>
      </c>
      <c r="G68" s="45">
        <v>0.35249143810980477</v>
      </c>
      <c r="H68" s="45">
        <v>0.32817106065740709</v>
      </c>
      <c r="I68" s="45">
        <v>0.30416857825254007</v>
      </c>
      <c r="J68" s="45">
        <v>0.28042655945741468</v>
      </c>
      <c r="K68" s="45">
        <v>0.25688677766530055</v>
      </c>
      <c r="L68" s="45">
        <v>0.23348957944191295</v>
      </c>
      <c r="M68" s="45">
        <v>0.21017320499913605</v>
      </c>
      <c r="N68" s="45">
        <v>0.18687305893973227</v>
      </c>
      <c r="O68" s="45">
        <v>0.16352093920993105</v>
      </c>
      <c r="P68" s="45">
        <v>0.14004425108021867</v>
      </c>
      <c r="Q68" s="45">
        <v>0.11636526811900683</v>
      </c>
      <c r="R68" s="45">
        <v>9.2400565895697895E-2</v>
      </c>
      <c r="S68" s="45">
        <v>6.8060867276858783E-2</v>
      </c>
      <c r="T68" s="45">
        <v>4.3251733637488465E-2</v>
      </c>
      <c r="U68" s="45">
        <v>1.7875861224642353E-2</v>
      </c>
      <c r="V68" s="45">
        <v>-8.1617525450792261E-3</v>
      </c>
      <c r="W68" s="45">
        <v>-3.4943817577367531E-2</v>
      </c>
    </row>
    <row r="71" spans="1:23" x14ac:dyDescent="0.35">
      <c r="A71" t="s">
        <v>101</v>
      </c>
      <c r="D71" t="s">
        <v>98</v>
      </c>
    </row>
    <row r="72" spans="1:23" x14ac:dyDescent="0.35">
      <c r="A72" t="s">
        <v>6</v>
      </c>
      <c r="B72" s="45">
        <f>'YRT Model'!B56</f>
        <v>0.15057226567012472</v>
      </c>
      <c r="C72">
        <v>0.8</v>
      </c>
      <c r="D72">
        <f>C72+0.02</f>
        <v>0.82000000000000006</v>
      </c>
      <c r="E72">
        <f t="shared" ref="E72:W72" si="12">D72+0.02</f>
        <v>0.84000000000000008</v>
      </c>
      <c r="F72">
        <f t="shared" si="12"/>
        <v>0.8600000000000001</v>
      </c>
      <c r="G72">
        <f t="shared" si="12"/>
        <v>0.88000000000000012</v>
      </c>
      <c r="H72">
        <f t="shared" si="12"/>
        <v>0.90000000000000013</v>
      </c>
      <c r="I72">
        <f t="shared" si="12"/>
        <v>0.92000000000000015</v>
      </c>
      <c r="J72">
        <f t="shared" si="12"/>
        <v>0.94000000000000017</v>
      </c>
      <c r="K72">
        <f t="shared" si="12"/>
        <v>0.96000000000000019</v>
      </c>
      <c r="L72">
        <f t="shared" si="12"/>
        <v>0.9800000000000002</v>
      </c>
      <c r="M72">
        <f t="shared" si="12"/>
        <v>1.0000000000000002</v>
      </c>
      <c r="N72">
        <f t="shared" si="12"/>
        <v>1.0200000000000002</v>
      </c>
      <c r="O72">
        <f t="shared" si="12"/>
        <v>1.0400000000000003</v>
      </c>
      <c r="P72">
        <f t="shared" si="12"/>
        <v>1.0600000000000003</v>
      </c>
      <c r="Q72">
        <f t="shared" si="12"/>
        <v>1.0800000000000003</v>
      </c>
      <c r="R72">
        <f t="shared" si="12"/>
        <v>1.1000000000000003</v>
      </c>
      <c r="S72">
        <f t="shared" si="12"/>
        <v>1.1200000000000003</v>
      </c>
      <c r="T72">
        <f t="shared" si="12"/>
        <v>1.1400000000000003</v>
      </c>
      <c r="U72">
        <f t="shared" si="12"/>
        <v>1.1600000000000004</v>
      </c>
      <c r="V72">
        <f t="shared" si="12"/>
        <v>1.1800000000000004</v>
      </c>
      <c r="W72">
        <f t="shared" si="12"/>
        <v>1.2000000000000004</v>
      </c>
    </row>
    <row r="73" spans="1:23" x14ac:dyDescent="0.35">
      <c r="B73" s="45">
        <f>0.03</f>
        <v>0.03</v>
      </c>
      <c r="C73" s="45">
        <f t="dataTable" ref="C73:W88" dt2D="1" dtr="1" r1="B30" r2="B46" ca="1"/>
        <v>0.37551057854128267</v>
      </c>
      <c r="D73" s="45">
        <v>0.34978671988436094</v>
      </c>
      <c r="E73" s="45">
        <v>0.32469256610622188</v>
      </c>
      <c r="F73" s="45">
        <v>0.30016701307022609</v>
      </c>
      <c r="G73" s="45">
        <v>0.27615222288147145</v>
      </c>
      <c r="H73" s="45">
        <v>0.25259325239205999</v>
      </c>
      <c r="I73" s="45">
        <v>0.2294377362461506</v>
      </c>
      <c r="J73" s="45">
        <v>0.20663562714847772</v>
      </c>
      <c r="K73" s="45">
        <v>0.18413899934588263</v>
      </c>
      <c r="L73" s="45">
        <v>0.16190192530207126</v>
      </c>
      <c r="M73" s="45">
        <v>0.13988044038583602</v>
      </c>
      <c r="N73" s="45">
        <v>0.11803261619157257</v>
      </c>
      <c r="O73" s="45">
        <v>9.6318769832814732E-2</v>
      </c>
      <c r="P73" s="45">
        <v>7.4701843855756733E-2</v>
      </c>
      <c r="Q73" s="45">
        <v>5.3147998403001662E-2</v>
      </c>
      <c r="R73" s="45">
        <v>3.1627462041578847E-2</v>
      </c>
      <c r="S73" s="45">
        <v>1.0115686873153118E-2</v>
      </c>
      <c r="T73" s="45">
        <v>-1.1405158278251726E-2</v>
      </c>
      <c r="U73" s="45">
        <v>-3.2944353419378847E-2</v>
      </c>
      <c r="V73">
        <v>-5.4500507192752012E-2</v>
      </c>
      <c r="W73">
        <v>-7.6059300965141352E-2</v>
      </c>
    </row>
    <row r="74" spans="1:23" x14ac:dyDescent="0.35">
      <c r="B74" s="45">
        <f>B73+0.002</f>
        <v>3.2000000000000001E-2</v>
      </c>
      <c r="C74" s="45">
        <v>0.37713511875135675</v>
      </c>
      <c r="D74" s="45">
        <v>0.35140460333082002</v>
      </c>
      <c r="E74" s="45">
        <v>0.32630591831101752</v>
      </c>
      <c r="F74" s="45">
        <v>0.30177799002092009</v>
      </c>
      <c r="G74" s="45">
        <v>0.27776301674723158</v>
      </c>
      <c r="H74" s="45">
        <v>0.25420609623603729</v>
      </c>
      <c r="I74" s="45">
        <v>0.23105490717202426</v>
      </c>
      <c r="J74" s="45">
        <v>0.20825944709747946</v>
      </c>
      <c r="K74" s="45">
        <v>0.18577183246561835</v>
      </c>
      <c r="L74" s="45">
        <v>0.16354617042145225</v>
      </c>
      <c r="M74" s="45">
        <v>0.14153851663338979</v>
      </c>
      <c r="N74" s="45">
        <v>0.11970693917497433</v>
      </c>
      <c r="O74" s="45">
        <v>9.8011715059779903E-2</v>
      </c>
      <c r="P74" s="45">
        <v>7.6415693260124762E-2</v>
      </c>
      <c r="Q74" s="45">
        <v>5.4884865052033938E-2</v>
      </c>
      <c r="R74" s="45">
        <v>3.3389187563675593E-2</v>
      </c>
      <c r="S74" s="45">
        <v>1.1903706260058655E-2</v>
      </c>
      <c r="T74" s="45">
        <v>-9.5899884326159368E-3</v>
      </c>
      <c r="U74" s="45">
        <v>-3.1101963580237757E-2</v>
      </c>
      <c r="V74">
        <v>-5.2631853951707219E-2</v>
      </c>
      <c r="W74">
        <v>-7.4166619189741434E-2</v>
      </c>
    </row>
    <row r="75" spans="1:23" x14ac:dyDescent="0.35">
      <c r="B75" s="45">
        <f t="shared" ref="B75:B88" si="13">B74+0.002</f>
        <v>3.4000000000000002E-2</v>
      </c>
      <c r="C75" s="45">
        <v>0.37875643874126586</v>
      </c>
      <c r="D75" s="45">
        <v>0.35301916248803433</v>
      </c>
      <c r="E75" s="45">
        <v>0.32791583005442737</v>
      </c>
      <c r="F75" s="45">
        <v>0.30338539774201445</v>
      </c>
      <c r="G75" s="45">
        <v>0.27937009954281944</v>
      </c>
      <c r="H75" s="45">
        <v>0.25581507367884515</v>
      </c>
      <c r="I75" s="45">
        <v>0.23266804257529494</v>
      </c>
      <c r="J75" s="45">
        <v>0.20987904851497174</v>
      </c>
      <c r="K75" s="45">
        <v>0.18740025038215968</v>
      </c>
      <c r="L75" s="45">
        <v>0.16518579071328565</v>
      </c>
      <c r="M75" s="45">
        <v>0.14319174689392611</v>
      </c>
      <c r="N75" s="45">
        <v>0.12137618589727084</v>
      </c>
      <c r="O75" s="45">
        <v>9.9699348444318714E-2</v>
      </c>
      <c r="P75" s="45">
        <v>7.8123995610689168E-2</v>
      </c>
      <c r="Q75" s="45">
        <v>5.6615957932677485E-2</v>
      </c>
      <c r="R75" s="45">
        <v>3.5144932324466138E-2</v>
      </c>
      <c r="S75" s="45">
        <v>1.3685572577701643E-2</v>
      </c>
      <c r="T75" s="45">
        <v>-7.7810900980614939E-3</v>
      </c>
      <c r="U75" s="45">
        <v>-2.9265886368958771E-2</v>
      </c>
      <c r="V75">
        <v>-5.0769450129525495E-2</v>
      </c>
      <c r="W75">
        <v>-7.2279990739391287E-2</v>
      </c>
    </row>
    <row r="76" spans="1:23" x14ac:dyDescent="0.35">
      <c r="B76" s="45">
        <f t="shared" si="13"/>
        <v>3.6000000000000004E-2</v>
      </c>
      <c r="C76" s="45">
        <v>0.38037455663685082</v>
      </c>
      <c r="D76" s="45">
        <v>0.35463041681860275</v>
      </c>
      <c r="E76" s="45">
        <v>0.32952232224664435</v>
      </c>
      <c r="F76" s="45">
        <v>0.30498925870529181</v>
      </c>
      <c r="G76" s="45">
        <v>0.28097349541623906</v>
      </c>
      <c r="H76" s="45">
        <v>0.25742021065597243</v>
      </c>
      <c r="I76" s="45">
        <v>0.2342771702807358</v>
      </c>
      <c r="J76" s="45">
        <v>0.21149446119834048</v>
      </c>
      <c r="K76" s="45">
        <v>0.18902428491737999</v>
      </c>
      <c r="L76" s="45">
        <v>0.16682082002602217</v>
      </c>
      <c r="M76" s="45">
        <v>0.14484016696941038</v>
      </c>
      <c r="N76" s="45">
        <v>0.12304039393139354</v>
      </c>
      <c r="O76" s="45">
        <v>0.10138170899302379</v>
      </c>
      <c r="P76" s="45">
        <v>7.982679079795596E-2</v>
      </c>
      <c r="Q76" s="45">
        <v>5.8341316987031711E-2</v>
      </c>
      <c r="R76" s="45">
        <v>3.6894735123334188E-2</v>
      </c>
      <c r="S76" s="45">
        <v>1.5461321846703235E-2</v>
      </c>
      <c r="T76" s="45">
        <v>-5.9784321724024592E-3</v>
      </c>
      <c r="U76" s="45">
        <v>-2.743609825832527E-2</v>
      </c>
      <c r="V76">
        <v>-4.891328286766683E-2</v>
      </c>
      <c r="W76">
        <v>-7.0399416730784203E-2</v>
      </c>
    </row>
    <row r="77" spans="1:23" x14ac:dyDescent="0.35">
      <c r="B77" s="45">
        <f t="shared" si="13"/>
        <v>3.8000000000000006E-2</v>
      </c>
      <c r="C77" s="45">
        <v>0.38198949037799546</v>
      </c>
      <c r="D77" s="45">
        <v>0.35623838558231391</v>
      </c>
      <c r="E77" s="45">
        <v>0.33112541557702735</v>
      </c>
      <c r="F77" s="45">
        <v>0.30658959514259898</v>
      </c>
      <c r="G77" s="45">
        <v>0.28257322825560349</v>
      </c>
      <c r="H77" s="45">
        <v>0.25902153282259044</v>
      </c>
      <c r="I77" s="45">
        <v>0.23588231781252378</v>
      </c>
      <c r="J77" s="45">
        <v>0.21310571462520311</v>
      </c>
      <c r="K77" s="45">
        <v>0.19064396755675217</v>
      </c>
      <c r="L77" s="45">
        <v>0.16845129185969632</v>
      </c>
      <c r="M77" s="45">
        <v>0.14648381230893648</v>
      </c>
      <c r="N77" s="45">
        <v>0.1246996005045633</v>
      </c>
      <c r="O77" s="45">
        <v>0.10305883539099958</v>
      </c>
      <c r="P77" s="45">
        <v>8.1524118439266768E-2</v>
      </c>
      <c r="Q77" s="45">
        <v>6.0060981965141647E-2</v>
      </c>
      <c r="R77" s="45">
        <v>3.8638634691502194E-2</v>
      </c>
      <c r="S77" s="45">
        <v>1.723099019645713E-2</v>
      </c>
      <c r="T77" s="45">
        <v>-4.181983206355766E-3</v>
      </c>
      <c r="U77" s="45">
        <v>-2.5612575071558896E-2</v>
      </c>
      <c r="V77">
        <v>-4.7063338299539237E-2</v>
      </c>
      <c r="W77">
        <v>-6.8524896883015551E-2</v>
      </c>
    </row>
    <row r="78" spans="1:23" x14ac:dyDescent="0.35">
      <c r="B78" s="45">
        <f t="shared" si="13"/>
        <v>4.0000000000000008E-2</v>
      </c>
      <c r="C78" s="45">
        <v>0.38360125772111942</v>
      </c>
      <c r="D78" s="45">
        <v>0.35784308783887675</v>
      </c>
      <c r="E78" s="45">
        <v>0.33272513051706354</v>
      </c>
      <c r="F78" s="45">
        <v>0.30818642904905391</v>
      </c>
      <c r="G78" s="45">
        <v>0.28416932169256892</v>
      </c>
      <c r="H78" s="45">
        <v>0.26061906555718384</v>
      </c>
      <c r="I78" s="45">
        <v>0.23748351239801013</v>
      </c>
      <c r="J78" s="45">
        <v>0.21471283795722451</v>
      </c>
      <c r="K78" s="45">
        <v>0.19225932945305435</v>
      </c>
      <c r="L78" s="45">
        <v>0.17007723936929287</v>
      </c>
      <c r="M78" s="45">
        <v>0.14812271801141152</v>
      </c>
      <c r="N78" s="45">
        <v>0.12635384249981674</v>
      </c>
      <c r="O78" s="45">
        <v>0.10473076600156639</v>
      </c>
      <c r="P78" s="45">
        <v>8.3216017875809678E-2</v>
      </c>
      <c r="Q78" s="45">
        <v>6.1774992418225816E-2</v>
      </c>
      <c r="R78" s="45">
        <v>4.0376669680191934E-2</v>
      </c>
      <c r="S78" s="45">
        <v>1.8994613846875952E-2</v>
      </c>
      <c r="T78" s="45">
        <v>-2.3917114293651176E-3</v>
      </c>
      <c r="U78" s="45">
        <v>-2.3795292016234648E-2</v>
      </c>
      <c r="V78">
        <v>-4.5219601591759639E-2</v>
      </c>
      <c r="W78">
        <v>-6.6656429563469177E-2</v>
      </c>
    </row>
    <row r="79" spans="1:23" x14ac:dyDescent="0.35">
      <c r="B79" s="45">
        <f t="shared" si="13"/>
        <v>4.200000000000001E-2</v>
      </c>
      <c r="C79" s="45">
        <v>0.38520987624162983</v>
      </c>
      <c r="D79" s="45">
        <v>0.35944454245059654</v>
      </c>
      <c r="E79" s="45">
        <v>0.33432148732328759</v>
      </c>
      <c r="F79" s="45">
        <v>0.30977978218619651</v>
      </c>
      <c r="G79" s="45">
        <v>0.28576179910571642</v>
      </c>
      <c r="H79" s="45">
        <v>0.26221283396513306</v>
      </c>
      <c r="I79" s="45">
        <v>0.23908078097144903</v>
      </c>
      <c r="J79" s="45">
        <v>0.21631586004389769</v>
      </c>
      <c r="K79" s="45">
        <v>0.19387040143005874</v>
      </c>
      <c r="L79" s="45">
        <v>0.17169869536811833</v>
      </c>
      <c r="M79" s="45">
        <v>0.14975691882828635</v>
      </c>
      <c r="N79" s="45">
        <v>0.12800315645762717</v>
      </c>
      <c r="O79" s="45">
        <v>0.10639753886613956</v>
      </c>
      <c r="P79" s="45">
        <v>8.4902528169916947E-2</v>
      </c>
      <c r="Q79" s="45">
        <v>6.3483387692326199E-2</v>
      </c>
      <c r="R79" s="45">
        <v>4.2108878649378179E-2</v>
      </c>
      <c r="S79" s="45">
        <v>2.0752229090909013E-2</v>
      </c>
      <c r="T79" s="45">
        <v>-6.0758477449329718E-4</v>
      </c>
      <c r="U79" s="45">
        <v>-2.1984223717172235E-2</v>
      </c>
      <c r="V79">
        <v>-4.3382056984442641E-2</v>
      </c>
      <c r="W79">
        <v>-6.4794011833016807E-2</v>
      </c>
    </row>
    <row r="80" spans="1:23" x14ac:dyDescent="0.35">
      <c r="B80" s="45">
        <f t="shared" si="13"/>
        <v>4.4000000000000011E-2</v>
      </c>
      <c r="C80" s="45">
        <v>0.38681536333633537</v>
      </c>
      <c r="D80" s="45">
        <v>0.36104276808501745</v>
      </c>
      <c r="E80" s="45">
        <v>0.33591450604015405</v>
      </c>
      <c r="F80" s="45">
        <v>0.31136967608510235</v>
      </c>
      <c r="G80" s="45">
        <v>0.28735068362388727</v>
      </c>
      <c r="H80" s="45">
        <v>0.26380286288224841</v>
      </c>
      <c r="I80" s="45">
        <v>0.24067415017768057</v>
      </c>
      <c r="J80" s="45">
        <v>0.21791480942628905</v>
      </c>
      <c r="K80" s="45">
        <v>0.19547721398619755</v>
      </c>
      <c r="L80" s="45">
        <v>0.17331569233117472</v>
      </c>
      <c r="M80" s="45">
        <v>0.15138644916632282</v>
      </c>
      <c r="N80" s="45">
        <v>0.12964757857762299</v>
      </c>
      <c r="O80" s="45">
        <v>0.10805919170428457</v>
      </c>
      <c r="P80" s="45">
        <v>8.6583688102636724E-2</v>
      </c>
      <c r="Q80" s="45">
        <v>6.518620692237187E-2</v>
      </c>
      <c r="R80" s="45">
        <v>4.383530005711056E-2</v>
      </c>
      <c r="S80" s="45">
        <v>2.2503872277807924E-2</v>
      </c>
      <c r="T80" s="45">
        <v>1.1704290975977916E-3</v>
      </c>
      <c r="U80" s="45">
        <v>-2.0179344248318798E-2</v>
      </c>
      <c r="V80">
        <v>-4.1550687830520849E-2</v>
      </c>
      <c r="W80">
        <v>-6.2937639490508457E-2</v>
      </c>
    </row>
    <row r="81" spans="1:23" x14ac:dyDescent="0.35">
      <c r="B81" s="45">
        <f t="shared" si="13"/>
        <v>4.6000000000000013E-2</v>
      </c>
      <c r="C81" s="45">
        <v>0.38841773622582498</v>
      </c>
      <c r="D81" s="45">
        <v>0.36263778321752071</v>
      </c>
      <c r="E81" s="45">
        <v>0.33750420650286994</v>
      </c>
      <c r="F81" s="45">
        <v>0.31295613204944384</v>
      </c>
      <c r="G81" s="45">
        <v>0.28893599812947235</v>
      </c>
      <c r="H81" s="45">
        <v>0.26538917687825925</v>
      </c>
      <c r="I81" s="45">
        <v>0.24226364637577302</v>
      </c>
      <c r="J81" s="45">
        <v>0.21950971434074829</v>
      </c>
      <c r="K81" s="45">
        <v>0.19707979729820657</v>
      </c>
      <c r="L81" s="45">
        <v>0.17492826239853509</v>
      </c>
      <c r="M81" s="45">
        <v>0.1530113430903981</v>
      </c>
      <c r="N81" s="45">
        <v>0.1312871447203916</v>
      </c>
      <c r="O81" s="45">
        <v>0.10971576191392574</v>
      </c>
      <c r="P81" s="45">
        <v>8.8259536171566122E-2</v>
      </c>
      <c r="Q81" s="45">
        <v>6.6883489026625442E-2</v>
      </c>
      <c r="R81" s="45">
        <v>4.5555972249385679E-2</v>
      </c>
      <c r="S81" s="45">
        <v>2.4249579797113618E-2</v>
      </c>
      <c r="T81" s="45">
        <v>2.9423627755535975E-3</v>
      </c>
      <c r="U81" s="45">
        <v>-1.838062716363742E-2</v>
      </c>
      <c r="V81">
        <v>-3.972547663409387E-2</v>
      </c>
      <c r="W81">
        <v>-6.1087307116527212E-2</v>
      </c>
    </row>
    <row r="82" spans="1:23" x14ac:dyDescent="0.35">
      <c r="B82" s="45">
        <f t="shared" si="13"/>
        <v>4.8000000000000015E-2</v>
      </c>
      <c r="C82" s="45">
        <v>0.3900170119568056</v>
      </c>
      <c r="D82" s="45">
        <v>0.364229606133885</v>
      </c>
      <c r="E82" s="45">
        <v>0.3390906083401799</v>
      </c>
      <c r="F82" s="45">
        <v>0.31453917115850816</v>
      </c>
      <c r="G82" s="45">
        <v>0.29051776526165107</v>
      </c>
      <c r="H82" s="45">
        <v>0.2669718002602568</v>
      </c>
      <c r="I82" s="45">
        <v>0.24384929564261792</v>
      </c>
      <c r="J82" s="45">
        <v>0.2211006027225797</v>
      </c>
      <c r="K82" s="45">
        <v>0.19867818122474645</v>
      </c>
      <c r="L82" s="45">
        <v>0.17653643737871416</v>
      </c>
      <c r="M82" s="45">
        <v>0.15463163432633942</v>
      </c>
      <c r="N82" s="45">
        <v>0.13292189040936431</v>
      </c>
      <c r="O82" s="45">
        <v>0.11136728657171324</v>
      </c>
      <c r="P82" s="45">
        <v>8.9930110588934076E-2</v>
      </c>
      <c r="Q82" s="45">
        <v>6.8575272701514756E-2</v>
      </c>
      <c r="R82" s="45">
        <v>4.7270933450547448E-2</v>
      </c>
      <c r="S82" s="45">
        <v>2.5989388063348606E-2</v>
      </c>
      <c r="T82" s="45">
        <v>4.7082490750984807E-3</v>
      </c>
      <c r="U82" s="45">
        <v>-1.6588045527016648E-2</v>
      </c>
      <c r="V82">
        <v>-3.7906405087809625E-2</v>
      </c>
      <c r="W82">
        <v>-5.9243008116381835E-2</v>
      </c>
    </row>
    <row r="83" spans="1:23" x14ac:dyDescent="0.35">
      <c r="B83" s="45">
        <f t="shared" si="13"/>
        <v>5.0000000000000017E-2</v>
      </c>
      <c r="C83" s="45">
        <v>0.39161320740440764</v>
      </c>
      <c r="D83" s="45">
        <v>0.36581825493280662</v>
      </c>
      <c r="E83" s="45">
        <v>0.34067373097711284</v>
      </c>
      <c r="F83" s="45">
        <v>0.31611881427017297</v>
      </c>
      <c r="G83" s="45">
        <v>0.29209600741958996</v>
      </c>
      <c r="H83" s="45">
        <v>0.26855075707608922</v>
      </c>
      <c r="I83" s="45">
        <v>0.24543112377648524</v>
      </c>
      <c r="J83" s="45">
        <v>0.22268750220968014</v>
      </c>
      <c r="K83" s="45">
        <v>0.20027239530999785</v>
      </c>
      <c r="L83" s="45">
        <v>0.17814024875203738</v>
      </c>
      <c r="M83" s="45">
        <v>0.15624735626378738</v>
      </c>
      <c r="N83" s="45">
        <v>0.13455185083277676</v>
      </c>
      <c r="O83" s="45">
        <v>0.11301380243353076</v>
      </c>
      <c r="P83" s="45">
        <v>9.1595449279918473E-2</v>
      </c>
      <c r="Q83" s="45">
        <v>7.0261596416814287E-2</v>
      </c>
      <c r="R83" s="45">
        <v>4.8980221754196585E-2</v>
      </c>
      <c r="S83" s="45">
        <v>2.7723333501379122E-2</v>
      </c>
      <c r="T83" s="45">
        <v>6.4681210176520398E-3</v>
      </c>
      <c r="U83" s="45">
        <v>-1.4801571941223446E-2</v>
      </c>
      <c r="V83">
        <v>-3.6093454109278333E-2</v>
      </c>
      <c r="W83">
        <v>-5.7404734762323106E-2</v>
      </c>
    </row>
    <row r="84" spans="1:23" x14ac:dyDescent="0.35">
      <c r="B84" s="45">
        <f t="shared" si="13"/>
        <v>5.2000000000000018E-2</v>
      </c>
      <c r="C84" s="45">
        <v>0.39320633927445314</v>
      </c>
      <c r="D84" s="45">
        <v>0.36740374752838045</v>
      </c>
      <c r="E84" s="45">
        <v>0.34225359363768759</v>
      </c>
      <c r="F84" s="45">
        <v>0.31769508202383401</v>
      </c>
      <c r="G84" s="45">
        <v>0.29367074676559057</v>
      </c>
      <c r="H84" s="45">
        <v>0.27012607111771447</v>
      </c>
      <c r="I84" s="45">
        <v>0.24700915630053544</v>
      </c>
      <c r="J84" s="45">
        <v>0.2242704401461364</v>
      </c>
      <c r="K84" s="45">
        <v>0.20186246878723302</v>
      </c>
      <c r="L84" s="45">
        <v>0.1797397276740027</v>
      </c>
      <c r="M84" s="45">
        <v>0.15785854195908366</v>
      </c>
      <c r="N84" s="45">
        <v>0.13617706084570358</v>
      </c>
      <c r="O84" s="45">
        <v>0.11465534593513982</v>
      </c>
      <c r="P84" s="45">
        <v>9.3255589881193535E-2</v>
      </c>
      <c r="Q84" s="45">
        <v>7.1942498411176503E-2</v>
      </c>
      <c r="R84" s="45">
        <v>5.0683875114589494E-2</v>
      </c>
      <c r="S84" s="45">
        <v>2.9451452532440969E-2</v>
      </c>
      <c r="T84" s="45">
        <v>8.222011809763341E-3</v>
      </c>
      <c r="U84" s="45">
        <v>-1.3021178575911452E-2</v>
      </c>
      <c r="V84">
        <v>-3.4286603876531818E-2</v>
      </c>
      <c r="W84">
        <v>-5.5572478234963807E-2</v>
      </c>
    </row>
    <row r="85" spans="1:23" x14ac:dyDescent="0.35">
      <c r="B85" s="45">
        <f t="shared" si="13"/>
        <v>5.400000000000002E-2</v>
      </c>
      <c r="C85" s="45">
        <v>0.39479642410568783</v>
      </c>
      <c r="D85" s="45">
        <v>0.36898610165254464</v>
      </c>
      <c r="E85" s="45">
        <v>0.34383021534757297</v>
      </c>
      <c r="F85" s="45">
        <v>0.31926799484329305</v>
      </c>
      <c r="G85" s="45">
        <v>0.29524200522819677</v>
      </c>
      <c r="H85" s="45">
        <v>0.27169776592450345</v>
      </c>
      <c r="I85" s="45">
        <v>0.24858341846628518</v>
      </c>
      <c r="J85" s="45">
        <v>0.22584944358578918</v>
      </c>
      <c r="K85" s="45">
        <v>0.20344843058235895</v>
      </c>
      <c r="L85" s="45">
        <v>0.18133490497863747</v>
      </c>
      <c r="M85" s="45">
        <v>0.15946522413818109</v>
      </c>
      <c r="N85" s="45">
        <v>0.13779755497214996</v>
      </c>
      <c r="O85" s="45">
        <v>0.11629195319295271</v>
      </c>
      <c r="P85" s="45">
        <v>9.4910569739687922E-2</v>
      </c>
      <c r="Q85" s="45">
        <v>7.3618016687989174E-2</v>
      </c>
      <c r="R85" s="45">
        <v>5.2381931338508769E-2</v>
      </c>
      <c r="S85" s="45">
        <v>3.1173781560793978E-2</v>
      </c>
      <c r="T85" s="45">
        <v>9.9699548233420643E-3</v>
      </c>
      <c r="U85" s="45">
        <v>-1.1246837194704096E-2</v>
      </c>
      <c r="V85">
        <v>-3.2485833862521352E-2</v>
      </c>
      <c r="W85">
        <v>-5.3746228663885676E-2</v>
      </c>
    </row>
    <row r="86" spans="1:23" x14ac:dyDescent="0.35">
      <c r="B86" s="45">
        <f t="shared" si="13"/>
        <v>5.6000000000000022E-2</v>
      </c>
      <c r="C86" s="45">
        <v>0.39638347827198284</v>
      </c>
      <c r="D86" s="45">
        <v>0.370565334857486</v>
      </c>
      <c r="E86" s="45">
        <v>0.34540361493671257</v>
      </c>
      <c r="F86" s="45">
        <v>0.32083757293960158</v>
      </c>
      <c r="G86" s="45">
        <v>0.29680980450525385</v>
      </c>
      <c r="H86" s="45">
        <v>0.27326586478650428</v>
      </c>
      <c r="I86" s="45">
        <v>0.25015393525703589</v>
      </c>
      <c r="J86" s="45">
        <v>0.22742453929575523</v>
      </c>
      <c r="K86" s="45">
        <v>0.20503030931743615</v>
      </c>
      <c r="L86" s="45">
        <v>0.18292581118184126</v>
      </c>
      <c r="M86" s="45">
        <v>0.16106743519957245</v>
      </c>
      <c r="N86" s="45">
        <v>0.13941336740721355</v>
      </c>
      <c r="O86" s="45">
        <v>0.11792366000492605</v>
      </c>
      <c r="P86" s="45">
        <v>9.6560425911550674E-2</v>
      </c>
      <c r="Q86" s="45">
        <v>7.5288189011550211E-2</v>
      </c>
      <c r="R86" s="45">
        <v>5.4074428077585779E-2</v>
      </c>
      <c r="S86" s="45">
        <v>3.2890356960990408E-2</v>
      </c>
      <c r="T86" s="45">
        <v>1.1711983576666585E-2</v>
      </c>
      <c r="U86" s="45">
        <v>-9.4785191813772096E-3</v>
      </c>
      <c r="V86">
        <v>-3.0691122868675702E-2</v>
      </c>
      <c r="W86">
        <v>-5.1925975167425809E-2</v>
      </c>
    </row>
    <row r="87" spans="1:23" x14ac:dyDescent="0.35">
      <c r="B87" s="45">
        <f t="shared" si="13"/>
        <v>5.8000000000000024E-2</v>
      </c>
      <c r="C87" s="45">
        <v>0.39796751798449681</v>
      </c>
      <c r="D87" s="45">
        <v>0.37214146451801056</v>
      </c>
      <c r="E87" s="45">
        <v>0.34697381104190805</v>
      </c>
      <c r="F87" s="45">
        <v>0.32240383631386349</v>
      </c>
      <c r="G87" s="45">
        <v>0.29837416606692724</v>
      </c>
      <c r="H87" s="45">
        <v>0.27483039074765925</v>
      </c>
      <c r="I87" s="45">
        <v>0.25172073139125417</v>
      </c>
      <c r="J87" s="45">
        <v>0.22899575375991676</v>
      </c>
      <c r="K87" s="45">
        <v>0.20660813331416827</v>
      </c>
      <c r="L87" s="45">
        <v>0.18451247648472169</v>
      </c>
      <c r="M87" s="45">
        <v>0.16266520721722988</v>
      </c>
      <c r="N87" s="45">
        <v>0.14102453201929643</v>
      </c>
      <c r="O87" s="45">
        <v>0.1195505018515699</v>
      </c>
      <c r="P87" s="45">
        <v>9.8205195161310987E-2</v>
      </c>
      <c r="Q87" s="45">
        <v>7.6953052903541819E-2</v>
      </c>
      <c r="R87" s="45">
        <v>5.5761402821060457E-2</v>
      </c>
      <c r="S87" s="45">
        <v>3.4601215065736657E-2</v>
      </c>
      <c r="T87" s="45">
        <v>1.3448131716145229E-2</v>
      </c>
      <c r="U87" s="45">
        <v>-7.7161955651482428E-3</v>
      </c>
      <c r="V87">
        <v>-2.8902449057521706E-2</v>
      </c>
      <c r="W87">
        <v>-5.011170589163072E-2</v>
      </c>
    </row>
    <row r="88" spans="1:23" x14ac:dyDescent="0.35">
      <c r="B88" s="45">
        <f t="shared" si="13"/>
        <v>6.0000000000000026E-2</v>
      </c>
      <c r="C88" s="45">
        <v>0.39954855929380906</v>
      </c>
      <c r="D88" s="45">
        <v>0.37371450783387616</v>
      </c>
      <c r="E88" s="45">
        <v>0.34854082210936377</v>
      </c>
      <c r="F88" s="45">
        <v>0.32396680475999418</v>
      </c>
      <c r="G88" s="45">
        <v>0.29993511115867721</v>
      </c>
      <c r="H88" s="45">
        <v>0.27639136660897767</v>
      </c>
      <c r="I88" s="45">
        <v>0.25328383132591537</v>
      </c>
      <c r="J88" s="45">
        <v>0.23056311318237199</v>
      </c>
      <c r="K88" s="45">
        <v>0.20818193059736334</v>
      </c>
      <c r="L88" s="45">
        <v>0.18609493077691752</v>
      </c>
      <c r="M88" s="45">
        <v>0.16425857194356963</v>
      </c>
      <c r="N88" s="45">
        <v>0.14263108235237132</v>
      </c>
      <c r="O88" s="45">
        <v>0.12117251389706141</v>
      </c>
      <c r="P88" s="45">
        <v>9.9844913961221415E-2</v>
      </c>
      <c r="Q88" s="45">
        <v>7.8612645639794199E-2</v>
      </c>
      <c r="R88" s="45">
        <v>5.7442892888958763E-2</v>
      </c>
      <c r="S88" s="45">
        <v>3.6306392154322964E-2</v>
      </c>
      <c r="T88" s="45">
        <v>1.517843299880739E-2</v>
      </c>
      <c r="U88" s="45">
        <v>-5.9598370451033889E-3</v>
      </c>
      <c r="V88">
        <v>-2.7119789984374698E-2</v>
      </c>
      <c r="W88">
        <v>-4.8303408048368524E-2</v>
      </c>
    </row>
    <row r="90" spans="1:23" x14ac:dyDescent="0.35">
      <c r="A90" t="s">
        <v>99</v>
      </c>
      <c r="D90" t="s">
        <v>6</v>
      </c>
    </row>
    <row r="91" spans="1:23" x14ac:dyDescent="0.35">
      <c r="A91" t="s">
        <v>97</v>
      </c>
      <c r="B91" s="45">
        <f>'LEVEL PREMIUM Model'!B56</f>
        <v>0.16991419578657618</v>
      </c>
      <c r="C91" s="47">
        <v>0.03</v>
      </c>
      <c r="D91" s="48">
        <f>C91+0.2%</f>
        <v>3.2000000000000001E-2</v>
      </c>
      <c r="E91" s="48">
        <f t="shared" ref="E91:R91" si="14">D91+0.2%</f>
        <v>3.4000000000000002E-2</v>
      </c>
      <c r="F91" s="48">
        <f t="shared" si="14"/>
        <v>3.6000000000000004E-2</v>
      </c>
      <c r="G91" s="48">
        <f t="shared" si="14"/>
        <v>3.8000000000000006E-2</v>
      </c>
      <c r="H91" s="48">
        <f t="shared" si="14"/>
        <v>4.0000000000000008E-2</v>
      </c>
      <c r="I91" s="48">
        <f t="shared" si="14"/>
        <v>4.200000000000001E-2</v>
      </c>
      <c r="J91" s="48">
        <f t="shared" si="14"/>
        <v>4.4000000000000011E-2</v>
      </c>
      <c r="K91" s="48">
        <f t="shared" si="14"/>
        <v>4.6000000000000013E-2</v>
      </c>
      <c r="L91" s="48">
        <f t="shared" si="14"/>
        <v>4.8000000000000015E-2</v>
      </c>
      <c r="M91" s="48">
        <f t="shared" si="14"/>
        <v>5.0000000000000017E-2</v>
      </c>
      <c r="N91" s="48">
        <f t="shared" si="14"/>
        <v>5.2000000000000018E-2</v>
      </c>
      <c r="O91" s="48">
        <f t="shared" si="14"/>
        <v>5.400000000000002E-2</v>
      </c>
      <c r="P91" s="48">
        <f t="shared" si="14"/>
        <v>5.6000000000000022E-2</v>
      </c>
      <c r="Q91" s="48">
        <f>P91+0.2%</f>
        <v>5.8000000000000024E-2</v>
      </c>
      <c r="R91" s="48">
        <f t="shared" si="14"/>
        <v>6.0000000000000026E-2</v>
      </c>
    </row>
    <row r="92" spans="1:23" x14ac:dyDescent="0.35">
      <c r="B92">
        <v>0.05</v>
      </c>
      <c r="C92" s="45">
        <f t="dataTable" ref="C92:R105" dt2D="1" dtr="1" r1="B46" r2="B42" ca="1"/>
        <v>8.4882451166318651E-2</v>
      </c>
      <c r="D92" s="45">
        <v>9.0157888937751007E-2</v>
      </c>
      <c r="E92" s="45">
        <v>9.5419967754374557E-2</v>
      </c>
      <c r="F92" s="45">
        <v>0.1006683180546013</v>
      </c>
      <c r="G92" s="45">
        <v>0.10590260512153282</v>
      </c>
      <c r="H92" s="45">
        <v>0.11112252754514573</v>
      </c>
      <c r="I92" s="45">
        <v>0.11632781568171979</v>
      </c>
      <c r="J92" s="45">
        <v>0.12151823011990648</v>
      </c>
      <c r="K92" s="45">
        <v>0.12669356016168631</v>
      </c>
      <c r="L92" s="45">
        <v>0.13185362232538478</v>
      </c>
      <c r="M92" s="45">
        <v>0.13699825887689099</v>
      </c>
      <c r="N92" s="45">
        <v>0.14212733639428166</v>
      </c>
      <c r="O92" s="45">
        <v>0.14724074437017598</v>
      </c>
      <c r="P92" s="45">
        <v>0.1523383938553462</v>
      </c>
      <c r="Q92" s="45">
        <v>0.15742021614638291</v>
      </c>
      <c r="R92" s="45">
        <v>0.16248616151955564</v>
      </c>
    </row>
    <row r="93" spans="1:23" x14ac:dyDescent="0.35">
      <c r="B93">
        <f>B92+0.01</f>
        <v>6.0000000000000005E-2</v>
      </c>
      <c r="C93" s="45">
        <v>9.6170441558163899E-2</v>
      </c>
      <c r="D93" s="45">
        <v>0.10137730314634097</v>
      </c>
      <c r="E93" s="45">
        <v>0.10656950374467389</v>
      </c>
      <c r="F93" s="45">
        <v>0.11174679955029099</v>
      </c>
      <c r="G93" s="45">
        <v>0.11690897614091211</v>
      </c>
      <c r="H93" s="45">
        <v>0.12205584693033655</v>
      </c>
      <c r="I93" s="45">
        <v>0.12718725165338829</v>
      </c>
      <c r="J93" s="45">
        <v>0.132303054885756</v>
      </c>
      <c r="K93" s="45">
        <v>0.13740314460324576</v>
      </c>
      <c r="L93" s="45">
        <v>0.14248743078411175</v>
      </c>
      <c r="M93" s="45">
        <v>0.14755584405737143</v>
      </c>
      <c r="N93" s="45">
        <v>0.15260833439930965</v>
      </c>
      <c r="O93" s="45">
        <v>0.15764486987977522</v>
      </c>
      <c r="P93" s="45">
        <v>0.16266543545930223</v>
      </c>
      <c r="Q93" s="45">
        <v>0.1676700318376283</v>
      </c>
      <c r="R93" s="45">
        <v>0.17265867435374971</v>
      </c>
    </row>
    <row r="94" spans="1:23" x14ac:dyDescent="0.35">
      <c r="B94">
        <f t="shared" ref="B94:B105" si="15">B93+0.01</f>
        <v>7.0000000000000007E-2</v>
      </c>
      <c r="C94" s="45">
        <v>0.10718691025706528</v>
      </c>
      <c r="D94" s="45">
        <v>0.1123197357248098</v>
      </c>
      <c r="E94" s="45">
        <v>0.11743706353658379</v>
      </c>
      <c r="F94" s="45">
        <v>0.12253875642424239</v>
      </c>
      <c r="G94" s="45">
        <v>0.12762470098798739</v>
      </c>
      <c r="H94" s="45">
        <v>0.13269480625793717</v>
      </c>
      <c r="I94" s="45">
        <v>0.13774900230363651</v>
      </c>
      <c r="J94" s="45">
        <v>0.14278723889379119</v>
      </c>
      <c r="K94" s="45">
        <v>0.14780948420785123</v>
      </c>
      <c r="L94" s="45">
        <v>0.15281572360048923</v>
      </c>
      <c r="M94" s="45">
        <v>0.1578059584195346</v>
      </c>
      <c r="N94" s="45">
        <v>0.16278020487746403</v>
      </c>
      <c r="O94" s="45">
        <v>0.16773849297618026</v>
      </c>
      <c r="P94" s="45">
        <v>0.17268086548449468</v>
      </c>
      <c r="Q94" s="45">
        <v>0.17760737696743734</v>
      </c>
      <c r="R94" s="45">
        <v>0.18251809286631215</v>
      </c>
    </row>
    <row r="95" spans="1:23" x14ac:dyDescent="0.35">
      <c r="B95">
        <f t="shared" si="15"/>
        <v>0.08</v>
      </c>
      <c r="C95" s="45">
        <v>0.11790616116622443</v>
      </c>
      <c r="D95" s="45">
        <v>0.12296124565427125</v>
      </c>
      <c r="E95" s="45">
        <v>0.12800039447183909</v>
      </c>
      <c r="F95" s="45">
        <v>0.13302355727940918</v>
      </c>
      <c r="G95" s="45">
        <v>0.13803070244827298</v>
      </c>
      <c r="H95" s="45">
        <v>0.14302181579317419</v>
      </c>
      <c r="I95" s="45">
        <v>0.14799689936045901</v>
      </c>
      <c r="J95" s="45">
        <v>0.15295597027181373</v>
      </c>
      <c r="K95" s="45">
        <v>0.15789905962326167</v>
      </c>
      <c r="L95" s="45">
        <v>0.1628262114387713</v>
      </c>
      <c r="M95" s="45">
        <v>0.167737481677531</v>
      </c>
      <c r="N95" s="45">
        <v>0.17263293729372498</v>
      </c>
      <c r="O95" s="45">
        <v>0.17751265534744065</v>
      </c>
      <c r="P95" s="45">
        <v>0.18237672216520107</v>
      </c>
      <c r="Q95" s="45">
        <v>0.18722523254847956</v>
      </c>
      <c r="R95" s="45">
        <v>0.19205828902848276</v>
      </c>
    </row>
    <row r="96" spans="1:23" x14ac:dyDescent="0.35">
      <c r="B96">
        <f t="shared" si="15"/>
        <v>0.09</v>
      </c>
      <c r="C96" s="45">
        <v>0.12830915438255674</v>
      </c>
      <c r="D96" s="45">
        <v>0.13328432195498596</v>
      </c>
      <c r="E96" s="45">
        <v>0.13824344520596465</v>
      </c>
      <c r="F96" s="45">
        <v>0.1431865422015719</v>
      </c>
      <c r="G96" s="45">
        <v>0.14811364515186742</v>
      </c>
      <c r="H96" s="45">
        <v>0.1530247993415712</v>
      </c>
      <c r="I96" s="45">
        <v>0.15792006211622711</v>
      </c>
      <c r="J96" s="45">
        <v>0.16279950192259651</v>
      </c>
      <c r="K96" s="45">
        <v>0.16766319740183988</v>
      </c>
      <c r="L96" s="45">
        <v>0.17251123653386702</v>
      </c>
      <c r="M96" s="45">
        <v>0.17734371583115438</v>
      </c>
      <c r="N96" s="45">
        <v>0.18216073958019563</v>
      </c>
      <c r="O96" s="45">
        <v>0.18696241912872713</v>
      </c>
      <c r="P96" s="45">
        <v>0.19174887221680836</v>
      </c>
      <c r="Q96" s="45">
        <v>0.19652022234983635</v>
      </c>
      <c r="R96" s="45">
        <v>0.20127659821155941</v>
      </c>
    </row>
    <row r="97" spans="1:18" x14ac:dyDescent="0.35">
      <c r="B97">
        <f t="shared" si="15"/>
        <v>9.9999999999999992E-2</v>
      </c>
      <c r="C97" s="45">
        <v>0.13838277027507861</v>
      </c>
      <c r="D97" s="45">
        <v>0.14327713256791874</v>
      </c>
      <c r="E97" s="45">
        <v>0.1481556048002719</v>
      </c>
      <c r="F97" s="45">
        <v>0.15301825688549853</v>
      </c>
      <c r="G97" s="45">
        <v>0.15786516900739422</v>
      </c>
      <c r="H97" s="45">
        <v>0.16269643074932971</v>
      </c>
      <c r="I97" s="45">
        <v>0.16751214027427452</v>
      </c>
      <c r="J97" s="45">
        <v>0.17231240355379751</v>
      </c>
      <c r="K97" s="45">
        <v>0.17709733364409153</v>
      </c>
      <c r="L97" s="45">
        <v>0.18186705000701209</v>
      </c>
      <c r="M97" s="45">
        <v>0.18662167787412676</v>
      </c>
      <c r="N97" s="45">
        <v>0.19136134765175972</v>
      </c>
      <c r="O97" s="45">
        <v>0.19608619436504338</v>
      </c>
      <c r="P97" s="45">
        <v>0.20079635713900856</v>
      </c>
      <c r="Q97" s="45">
        <v>0.20549197871480018</v>
      </c>
      <c r="R97" s="45">
        <v>0.21017320499913628</v>
      </c>
    </row>
    <row r="98" spans="1:18" x14ac:dyDescent="0.35">
      <c r="B98">
        <f t="shared" si="15"/>
        <v>0.10999999999999999</v>
      </c>
      <c r="C98" s="45">
        <v>0.14811899158606767</v>
      </c>
      <c r="D98" s="45">
        <v>0.15293271141783049</v>
      </c>
      <c r="E98" s="45">
        <v>0.15773089811453977</v>
      </c>
      <c r="F98" s="45">
        <v>0.16251365925390115</v>
      </c>
      <c r="G98" s="45">
        <v>0.16728110951235209</v>
      </c>
      <c r="H98" s="45">
        <v>0.17203336997693364</v>
      </c>
      <c r="I98" s="45">
        <v>0.17677056750120168</v>
      </c>
      <c r="J98" s="45">
        <v>0.18149283410307748</v>
      </c>
      <c r="K98" s="45">
        <v>0.1862003064025799</v>
      </c>
      <c r="L98" s="45">
        <v>0.19089312509739842</v>
      </c>
      <c r="M98" s="45">
        <v>0.19557143447431691</v>
      </c>
      <c r="N98" s="45">
        <v>0.20023538195455171</v>
      </c>
      <c r="O98" s="45">
        <v>0.20488511767112638</v>
      </c>
      <c r="P98" s="45">
        <v>0.20952079407646518</v>
      </c>
      <c r="Q98" s="45">
        <v>0.21414256557845923</v>
      </c>
      <c r="R98" s="45">
        <v>0.21875058820332649</v>
      </c>
    </row>
    <row r="99" spans="1:18" x14ac:dyDescent="0.35">
      <c r="B99">
        <f t="shared" si="15"/>
        <v>0.11999999999999998</v>
      </c>
      <c r="C99" s="45">
        <v>0.15751407907612491</v>
      </c>
      <c r="D99" s="45">
        <v>0.16224815207509224</v>
      </c>
      <c r="E99" s="45">
        <v>0.16696719918452185</v>
      </c>
      <c r="F99" s="45">
        <v>0.17167135391283295</v>
      </c>
      <c r="G99" s="45">
        <v>0.17636075434766174</v>
      </c>
      <c r="H99" s="45">
        <v>0.18103554262664967</v>
      </c>
      <c r="I99" s="45">
        <v>0.18569586444476283</v>
      </c>
      <c r="J99" s="45">
        <v>0.19034186859615021</v>
      </c>
      <c r="K99" s="45">
        <v>0.19497370654859125</v>
      </c>
      <c r="L99" s="45">
        <v>0.19959153204867941</v>
      </c>
      <c r="M99" s="45">
        <v>0.20419550075592796</v>
      </c>
      <c r="N99" s="45">
        <v>0.20878576990408604</v>
      </c>
      <c r="O99" s="45">
        <v>0.21336249798800599</v>
      </c>
      <c r="P99" s="45">
        <v>0.21792584447449781</v>
      </c>
      <c r="Q99" s="45">
        <v>0.22247596953566062</v>
      </c>
      <c r="R99" s="45">
        <v>0.2270130338032752</v>
      </c>
    </row>
    <row r="100" spans="1:18" x14ac:dyDescent="0.35">
      <c r="B100">
        <f t="shared" si="15"/>
        <v>0.12999999999999998</v>
      </c>
      <c r="C100" s="45">
        <v>0.16656779166865476</v>
      </c>
      <c r="D100" s="45">
        <v>0.17122385305534427</v>
      </c>
      <c r="E100" s="45">
        <v>0.17586550215992625</v>
      </c>
      <c r="F100" s="45">
        <v>0.18049288899761318</v>
      </c>
      <c r="G100" s="45">
        <v>0.18510616621564457</v>
      </c>
      <c r="H100" s="45">
        <v>0.18970548869663162</v>
      </c>
      <c r="I100" s="45">
        <v>0.19429101319123898</v>
      </c>
      <c r="J100" s="45">
        <v>0.1988628979784457</v>
      </c>
      <c r="K100" s="45">
        <v>0.20342130255168556</v>
      </c>
      <c r="L100" s="45">
        <v>0.2079663873292632</v>
      </c>
      <c r="M100" s="45">
        <v>0.21249831338750647</v>
      </c>
      <c r="N100" s="45">
        <v>0.21701724221520635</v>
      </c>
      <c r="O100" s="45">
        <v>0.22152333548795888</v>
      </c>
      <c r="P100" s="45">
        <v>0.22601675486110451</v>
      </c>
      <c r="Q100" s="45">
        <v>0.23049766178003428</v>
      </c>
      <c r="R100" s="45">
        <v>0.23496621730669154</v>
      </c>
    </row>
    <row r="101" spans="1:18" x14ac:dyDescent="0.35">
      <c r="B101">
        <f t="shared" si="15"/>
        <v>0.13999999999999999</v>
      </c>
      <c r="C101" s="45">
        <v>0.17528268113736845</v>
      </c>
      <c r="D101" s="45">
        <v>0.17986284039257816</v>
      </c>
      <c r="E101" s="45">
        <v>0.18442927145290788</v>
      </c>
      <c r="F101" s="45">
        <v>0.18898213347059056</v>
      </c>
      <c r="G101" s="45">
        <v>0.19352158676448084</v>
      </c>
      <c r="H101" s="45">
        <v>0.19804779253045979</v>
      </c>
      <c r="I101" s="45">
        <v>0.20256091257479469</v>
      </c>
      <c r="J101" s="45">
        <v>0.2070611090689789</v>
      </c>
      <c r="K101" s="45">
        <v>0.21154854432463699</v>
      </c>
      <c r="L101" s="45">
        <v>0.2160233805871703</v>
      </c>
      <c r="M101" s="45">
        <v>0.22048577984689111</v>
      </c>
      <c r="N101" s="45">
        <v>0.22493590366645044</v>
      </c>
      <c r="O101" s="45">
        <v>0.22937391302345733</v>
      </c>
      <c r="P101" s="45">
        <v>0.23379996816723425</v>
      </c>
      <c r="Q101" s="45">
        <v>0.23821422848872031</v>
      </c>
      <c r="R101" s="45">
        <v>0.24261685240260356</v>
      </c>
    </row>
    <row r="102" spans="1:18" x14ac:dyDescent="0.35">
      <c r="B102">
        <f t="shared" si="15"/>
        <v>0.15</v>
      </c>
      <c r="C102" s="45">
        <v>0.18366347540141748</v>
      </c>
      <c r="D102" s="45">
        <v>0.18817017858105056</v>
      </c>
      <c r="E102" s="45">
        <v>0.19266387956329556</v>
      </c>
      <c r="F102" s="45">
        <v>0.19714474101946045</v>
      </c>
      <c r="G102" s="45">
        <v>0.20161292571485534</v>
      </c>
      <c r="H102" s="45">
        <v>0.20606859630343166</v>
      </c>
      <c r="I102" s="45">
        <v>0.21051191514000522</v>
      </c>
      <c r="J102" s="45">
        <v>0.21494304410884935</v>
      </c>
      <c r="K102" s="45">
        <v>0.21936214446753444</v>
      </c>
      <c r="L102" s="45">
        <v>0.22376937670494956</v>
      </c>
      <c r="M102" s="45">
        <v>0.22816490041251214</v>
      </c>
      <c r="N102" s="45">
        <v>0.2325488741676216</v>
      </c>
      <c r="O102" s="45">
        <v>0.23692145542849108</v>
      </c>
      <c r="P102" s="45">
        <v>0.24128280043952555</v>
      </c>
      <c r="Q102" s="45">
        <v>0.24563306414647879</v>
      </c>
      <c r="R102" s="45">
        <v>0.24997240012067667</v>
      </c>
    </row>
    <row r="103" spans="1:18" x14ac:dyDescent="0.35">
      <c r="B103">
        <f t="shared" si="15"/>
        <v>0.16</v>
      </c>
      <c r="C103" s="45">
        <v>0.19171655336258198</v>
      </c>
      <c r="D103" s="45">
        <v>0.19615247103326494</v>
      </c>
      <c r="E103" s="45">
        <v>0.2005761321867634</v>
      </c>
      <c r="F103" s="45">
        <v>0.20498769884262913</v>
      </c>
      <c r="G103" s="45">
        <v>0.209387332353832</v>
      </c>
      <c r="H103" s="45">
        <v>0.21377519326623617</v>
      </c>
      <c r="I103" s="45">
        <v>0.21815144119126462</v>
      </c>
      <c r="J103" s="45">
        <v>0.22251623469082649</v>
      </c>
      <c r="K103" s="45">
        <v>0.22686973117360276</v>
      </c>
      <c r="L103" s="45">
        <v>0.23121208680187766</v>
      </c>
      <c r="M103" s="45">
        <v>0.23554345640813223</v>
      </c>
      <c r="N103" s="45">
        <v>0.23986399342067943</v>
      </c>
      <c r="O103" s="45">
        <v>0.24417384979766221</v>
      </c>
      <c r="P103" s="45">
        <v>0.24847317596878749</v>
      </c>
      <c r="Q103" s="45">
        <v>0.25276212078420102</v>
      </c>
      <c r="R103" s="45">
        <v>0.25704083146995904</v>
      </c>
    </row>
    <row r="104" spans="1:18" x14ac:dyDescent="0.35">
      <c r="B104">
        <f t="shared" si="15"/>
        <v>0.17</v>
      </c>
      <c r="C104" s="45">
        <v>0.19944950717188559</v>
      </c>
      <c r="D104" s="45">
        <v>0.20381744502999521</v>
      </c>
      <c r="E104" s="45">
        <v>0.2081738748327786</v>
      </c>
      <c r="F104" s="45">
        <v>0.21251895494256168</v>
      </c>
      <c r="G104" s="45">
        <v>0.21685284253701598</v>
      </c>
      <c r="H104" s="45">
        <v>0.22117569351753574</v>
      </c>
      <c r="I104" s="45">
        <v>0.22548766242734763</v>
      </c>
      <c r="J104" s="45">
        <v>0.22978890237862593</v>
      </c>
      <c r="K104" s="45">
        <v>0.23407956498793614</v>
      </c>
      <c r="L104" s="45">
        <v>0.23835980031936832</v>
      </c>
      <c r="M104" s="45">
        <v>0.24262975683477728</v>
      </c>
      <c r="N104" s="45">
        <v>0.24688958135057093</v>
      </c>
      <c r="O104" s="45">
        <v>0.25113941900054337</v>
      </c>
      <c r="P104" s="45">
        <v>0.25537941320426549</v>
      </c>
      <c r="Q104" s="45">
        <v>0.25960970564059815</v>
      </c>
      <c r="R104" s="45">
        <v>0.26383043622591384</v>
      </c>
    </row>
    <row r="105" spans="1:18" x14ac:dyDescent="0.35">
      <c r="B105">
        <f t="shared" si="15"/>
        <v>0.18000000000000002</v>
      </c>
      <c r="C105" s="45">
        <v>0.20687078387045754</v>
      </c>
      <c r="D105" s="45">
        <v>0.2111736127906918</v>
      </c>
      <c r="E105" s="45">
        <v>0.21546567236095893</v>
      </c>
      <c r="F105" s="45">
        <v>0.21974711519960022</v>
      </c>
      <c r="G105" s="45">
        <v>0.22401809240701076</v>
      </c>
      <c r="H105" s="45">
        <v>0.22827875351021265</v>
      </c>
      <c r="I105" s="45">
        <v>0.23252924641447748</v>
      </c>
      <c r="J105" s="45">
        <v>0.23676971736145269</v>
      </c>
      <c r="K105" s="45">
        <v>0.24100031089327256</v>
      </c>
      <c r="L105" s="45">
        <v>0.24522116982218023</v>
      </c>
      <c r="M105" s="45">
        <v>0.24943243520521929</v>
      </c>
      <c r="N105" s="45">
        <v>0.25363424632358145</v>
      </c>
      <c r="O105" s="45">
        <v>0.25782674066622557</v>
      </c>
      <c r="P105" s="45">
        <v>0.26201005391741794</v>
      </c>
      <c r="Q105" s="45">
        <v>0.26618431994785618</v>
      </c>
      <c r="R105" s="45">
        <v>0.27034967080907601</v>
      </c>
    </row>
    <row r="107" spans="1:18" x14ac:dyDescent="0.35">
      <c r="A107" t="s">
        <v>101</v>
      </c>
      <c r="D107" t="s">
        <v>6</v>
      </c>
    </row>
    <row r="108" spans="1:18" x14ac:dyDescent="0.35">
      <c r="A108" t="s">
        <v>97</v>
      </c>
      <c r="B108" s="45">
        <f>'YRT Model'!B56</f>
        <v>0.15057226567012472</v>
      </c>
      <c r="C108" s="47">
        <v>0.03</v>
      </c>
      <c r="D108" s="45">
        <f>C108+0.2%</f>
        <v>3.2000000000000001E-2</v>
      </c>
      <c r="E108" s="45">
        <f t="shared" ref="E108:R108" si="16">D108+0.2%</f>
        <v>3.4000000000000002E-2</v>
      </c>
      <c r="F108" s="45">
        <f t="shared" si="16"/>
        <v>3.6000000000000004E-2</v>
      </c>
      <c r="G108" s="45">
        <f t="shared" si="16"/>
        <v>3.8000000000000006E-2</v>
      </c>
      <c r="H108" s="45">
        <f t="shared" si="16"/>
        <v>4.0000000000000008E-2</v>
      </c>
      <c r="I108" s="45">
        <f t="shared" si="16"/>
        <v>4.200000000000001E-2</v>
      </c>
      <c r="J108" s="45">
        <f t="shared" si="16"/>
        <v>4.4000000000000011E-2</v>
      </c>
      <c r="K108" s="45">
        <f t="shared" si="16"/>
        <v>4.6000000000000013E-2</v>
      </c>
      <c r="L108" s="45">
        <f t="shared" si="16"/>
        <v>4.8000000000000015E-2</v>
      </c>
      <c r="M108" s="45">
        <f t="shared" si="16"/>
        <v>5.0000000000000017E-2</v>
      </c>
      <c r="N108" s="45">
        <f t="shared" si="16"/>
        <v>5.2000000000000018E-2</v>
      </c>
      <c r="O108" s="45">
        <f t="shared" si="16"/>
        <v>5.400000000000002E-2</v>
      </c>
      <c r="P108" s="45">
        <f t="shared" si="16"/>
        <v>5.6000000000000022E-2</v>
      </c>
      <c r="Q108" s="45">
        <f t="shared" si="16"/>
        <v>5.8000000000000024E-2</v>
      </c>
      <c r="R108" s="45">
        <f t="shared" si="16"/>
        <v>6.0000000000000026E-2</v>
      </c>
    </row>
    <row r="109" spans="1:18" x14ac:dyDescent="0.35">
      <c r="B109">
        <v>0.05</v>
      </c>
      <c r="C109" s="45">
        <f t="dataTable" ref="C109:R122" dt2D="1" dtr="1" r1="B46" r2="B42" ca="1"/>
        <v>0.17674112045075319</v>
      </c>
      <c r="D109" s="45">
        <v>0.17848914945594463</v>
      </c>
      <c r="E109" s="45">
        <v>0.18023163714177959</v>
      </c>
      <c r="F109" s="45">
        <v>0.18196862704384387</v>
      </c>
      <c r="G109" s="45">
        <v>0.18370016224540731</v>
      </c>
      <c r="H109" s="45">
        <v>0.18542628538113992</v>
      </c>
      <c r="I109" s="45">
        <v>0.18714703864088711</v>
      </c>
      <c r="J109" s="45">
        <v>0.18886246377348881</v>
      </c>
      <c r="K109" s="45">
        <v>0.19057260209064641</v>
      </c>
      <c r="L109" s="45">
        <v>0.19227749447082587</v>
      </c>
      <c r="M109" s="45">
        <v>0.19397718136319542</v>
      </c>
      <c r="N109" s="45">
        <v>0.19567170279159174</v>
      </c>
      <c r="O109" s="45">
        <v>0.19736109835851212</v>
      </c>
      <c r="P109" s="45">
        <v>0.19904540724912367</v>
      </c>
      <c r="Q109" s="45">
        <v>0.20072466823529433</v>
      </c>
      <c r="R109" s="45">
        <v>0.20239891967963164</v>
      </c>
    </row>
    <row r="110" spans="1:18" x14ac:dyDescent="0.35">
      <c r="B110">
        <f>B109+0.01</f>
        <v>6.0000000000000005E-2</v>
      </c>
      <c r="C110" s="45">
        <v>0.16938959531841635</v>
      </c>
      <c r="D110" s="45">
        <v>0.1711193537604323</v>
      </c>
      <c r="E110" s="45">
        <v>0.17284371444289315</v>
      </c>
      <c r="F110" s="45">
        <v>0.17456271927332034</v>
      </c>
      <c r="G110" s="45">
        <v>0.1762764097282814</v>
      </c>
      <c r="H110" s="45">
        <v>0.17798482685688</v>
      </c>
      <c r="I110" s="45">
        <v>0.17968801128429956</v>
      </c>
      <c r="J110" s="45">
        <v>0.18138600321539355</v>
      </c>
      <c r="K110" s="45">
        <v>0.18307884243831785</v>
      </c>
      <c r="L110" s="45">
        <v>0.18476656832819915</v>
      </c>
      <c r="M110" s="45">
        <v>0.18644921985083651</v>
      </c>
      <c r="N110" s="45">
        <v>0.18812683556643295</v>
      </c>
      <c r="O110" s="45">
        <v>0.18979945363334672</v>
      </c>
      <c r="P110" s="45">
        <v>0.19146711181186671</v>
      </c>
      <c r="Q110" s="45">
        <v>0.19312984746800166</v>
      </c>
      <c r="R110" s="45">
        <v>0.19478769757728509</v>
      </c>
    </row>
    <row r="111" spans="1:18" x14ac:dyDescent="0.35">
      <c r="B111">
        <f t="shared" ref="B111:B122" si="17">B110+0.01</f>
        <v>7.0000000000000007E-2</v>
      </c>
      <c r="C111" s="45">
        <v>0.16202763683761989</v>
      </c>
      <c r="D111" s="45">
        <v>0.16373926435361685</v>
      </c>
      <c r="E111" s="45">
        <v>0.16544563540678237</v>
      </c>
      <c r="F111" s="45">
        <v>0.16714679031792556</v>
      </c>
      <c r="G111" s="45">
        <v>0.16884276899750694</v>
      </c>
      <c r="H111" s="45">
        <v>0.1705336109489124</v>
      </c>
      <c r="I111" s="45">
        <v>0.17221935527178145</v>
      </c>
      <c r="J111" s="45">
        <v>0.17390004066537279</v>
      </c>
      <c r="K111" s="45">
        <v>0.17557570543197709</v>
      </c>
      <c r="L111" s="45">
        <v>0.17724638748036003</v>
      </c>
      <c r="M111" s="45">
        <v>0.17891212432923997</v>
      </c>
      <c r="N111" s="45">
        <v>0.18057295311079224</v>
      </c>
      <c r="O111" s="45">
        <v>0.18222891057417545</v>
      </c>
      <c r="P111" s="45">
        <v>0.18388003308907908</v>
      </c>
      <c r="Q111" s="45">
        <v>0.18552635664928685</v>
      </c>
      <c r="R111" s="45">
        <v>0.18716791687625212</v>
      </c>
    </row>
    <row r="112" spans="1:18" x14ac:dyDescent="0.35">
      <c r="B112">
        <f t="shared" si="17"/>
        <v>0.08</v>
      </c>
      <c r="C112" s="45">
        <v>0.15465536817857584</v>
      </c>
      <c r="D112" s="45">
        <v>0.15634900476870128</v>
      </c>
      <c r="E112" s="45">
        <v>0.15803752394613069</v>
      </c>
      <c r="F112" s="45">
        <v>0.15972096448562767</v>
      </c>
      <c r="G112" s="45">
        <v>0.16139936477147376</v>
      </c>
      <c r="H112" s="45">
        <v>0.16307276280054483</v>
      </c>
      <c r="I112" s="45">
        <v>0.16474119618542216</v>
      </c>
      <c r="J112" s="45">
        <v>0.16640470215755454</v>
      </c>
      <c r="K112" s="45">
        <v>0.16806331757045445</v>
      </c>
      <c r="L112" s="45">
        <v>0.16971707890293053</v>
      </c>
      <c r="M112" s="45">
        <v>0.17136602226234943</v>
      </c>
      <c r="N112" s="45">
        <v>0.17301018338792473</v>
      </c>
      <c r="O112" s="45">
        <v>0.17464959765402788</v>
      </c>
      <c r="P112" s="45">
        <v>0.17628430007351925</v>
      </c>
      <c r="Q112" s="45">
        <v>0.17791432530109419</v>
      </c>
      <c r="R112" s="45">
        <v>0.17953970763664495</v>
      </c>
    </row>
    <row r="113" spans="2:18" x14ac:dyDescent="0.35">
      <c r="B113">
        <f t="shared" si="17"/>
        <v>0.09</v>
      </c>
      <c r="C113" s="45">
        <v>0.14727292187956409</v>
      </c>
      <c r="D113" s="45">
        <v>0.14894870791835002</v>
      </c>
      <c r="E113" s="45">
        <v>0.15061951336432</v>
      </c>
      <c r="F113" s="45">
        <v>0.15228537548617904</v>
      </c>
      <c r="G113" s="45">
        <v>0.15394633118130563</v>
      </c>
      <c r="H113" s="45">
        <v>0.15560241697862676</v>
      </c>
      <c r="I113" s="45">
        <v>0.15725366904153359</v>
      </c>
      <c r="J113" s="45">
        <v>0.15890012317084246</v>
      </c>
      <c r="K113" s="45">
        <v>0.16054181480778795</v>
      </c>
      <c r="L113" s="45">
        <v>0.1621787790370548</v>
      </c>
      <c r="M113" s="45">
        <v>0.16381105058983403</v>
      </c>
      <c r="N113" s="45">
        <v>0.16543866384690498</v>
      </c>
      <c r="O113" s="45">
        <v>0.1670616528417439</v>
      </c>
      <c r="P113" s="45">
        <v>0.16868005126364571</v>
      </c>
      <c r="Q113" s="45">
        <v>0.17029389246086524</v>
      </c>
      <c r="R113" s="45">
        <v>0.17190320944377202</v>
      </c>
    </row>
    <row r="114" spans="2:18" x14ac:dyDescent="0.35">
      <c r="B114">
        <f t="shared" si="17"/>
        <v>9.9999999999999992E-2</v>
      </c>
      <c r="C114" s="45">
        <v>0.13988044038583625</v>
      </c>
      <c r="D114" s="45">
        <v>0.14153851663339001</v>
      </c>
      <c r="E114" s="45">
        <v>0.14319174689392633</v>
      </c>
      <c r="F114" s="45">
        <v>0.14484016696941082</v>
      </c>
      <c r="G114" s="45">
        <v>0.14648381230893648</v>
      </c>
      <c r="H114" s="45">
        <v>0.14812271801141152</v>
      </c>
      <c r="I114" s="45">
        <v>0.14975691882828635</v>
      </c>
      <c r="J114" s="45">
        <v>0.15138644916632304</v>
      </c>
      <c r="K114" s="45">
        <v>0.15301134309039832</v>
      </c>
      <c r="L114" s="45">
        <v>0.15463163432633964</v>
      </c>
      <c r="M114" s="45">
        <v>0.15624735626378761</v>
      </c>
      <c r="N114" s="45">
        <v>0.15785854195908411</v>
      </c>
      <c r="O114" s="45">
        <v>0.15946522413818154</v>
      </c>
      <c r="P114" s="45">
        <v>0.16106743519957267</v>
      </c>
      <c r="Q114" s="45">
        <v>0.1626652072172301</v>
      </c>
      <c r="R114" s="45">
        <v>0.16425857194356985</v>
      </c>
    </row>
    <row r="115" spans="2:18" x14ac:dyDescent="0.35">
      <c r="B115">
        <f t="shared" si="17"/>
        <v>0.10999999999999999</v>
      </c>
      <c r="C115" s="45">
        <v>0.13247807661931787</v>
      </c>
      <c r="D115" s="45">
        <v>0.13411858423225365</v>
      </c>
      <c r="E115" s="45">
        <v>0.13575437826589964</v>
      </c>
      <c r="F115" s="45">
        <v>0.13738549309413495</v>
      </c>
      <c r="G115" s="45">
        <v>0.13901196275574024</v>
      </c>
      <c r="H115" s="45">
        <v>0.14063382095690513</v>
      </c>
      <c r="I115" s="45">
        <v>0.14225110107377681</v>
      </c>
      <c r="J115" s="45">
        <v>0.14386383615504861</v>
      </c>
      <c r="K115" s="45">
        <v>0.14547205892457971</v>
      </c>
      <c r="L115" s="45">
        <v>0.14707580178404611</v>
      </c>
      <c r="M115" s="45">
        <v>0.1486750968156203</v>
      </c>
      <c r="N115" s="45">
        <v>0.15026997578467149</v>
      </c>
      <c r="O115" s="45">
        <v>0.15186047014248838</v>
      </c>
      <c r="P115" s="45">
        <v>0.15344661102902291</v>
      </c>
      <c r="Q115" s="45">
        <v>0.15502842927564453</v>
      </c>
      <c r="R115" s="45">
        <v>0.15660595540791111</v>
      </c>
    </row>
    <row r="116" spans="2:18" x14ac:dyDescent="0.35">
      <c r="B116">
        <f t="shared" si="17"/>
        <v>0.11999999999999998</v>
      </c>
      <c r="C116" s="45">
        <v>0.12506599458080414</v>
      </c>
      <c r="D116" s="45">
        <v>0.12668907512284822</v>
      </c>
      <c r="E116" s="45">
        <v>0.12830757231110002</v>
      </c>
      <c r="F116" s="45">
        <v>0.12992151912934902</v>
      </c>
      <c r="G116" s="45">
        <v>0.13153094824339284</v>
      </c>
      <c r="H116" s="45">
        <v>0.13313589200338138</v>
      </c>
      <c r="I116" s="45">
        <v>0.13473638244619068</v>
      </c>
      <c r="J116" s="45">
        <v>0.13633245129784077</v>
      </c>
      <c r="K116" s="45">
        <v>0.13792412997594106</v>
      </c>
      <c r="L116" s="45">
        <v>0.13951144959216699</v>
      </c>
      <c r="M116" s="45">
        <v>0.14109444095476209</v>
      </c>
      <c r="N116" s="45">
        <v>0.1426731345710639</v>
      </c>
      <c r="O116" s="45">
        <v>0.14424756065004862</v>
      </c>
      <c r="P116" s="45">
        <v>0.14581774910489487</v>
      </c>
      <c r="Q116" s="45">
        <v>0.14738372955556311</v>
      </c>
      <c r="R116" s="45">
        <v>0.14894553133138588</v>
      </c>
    </row>
    <row r="117" spans="2:18" x14ac:dyDescent="0.35">
      <c r="B117">
        <f t="shared" si="17"/>
        <v>0.12999999999999998</v>
      </c>
      <c r="C117" s="45">
        <v>0.11764436998643379</v>
      </c>
      <c r="D117" s="45">
        <v>0.11925016543862665</v>
      </c>
      <c r="E117" s="45">
        <v>0.12085150559596225</v>
      </c>
      <c r="F117" s="45">
        <v>0.12244842208948326</v>
      </c>
      <c r="G117" s="45">
        <v>0.12404094624870421</v>
      </c>
      <c r="H117" s="45">
        <v>0.12562910910379266</v>
      </c>
      <c r="I117" s="45">
        <v>0.12721294138778627</v>
      </c>
      <c r="J117" s="45">
        <v>0.12879247353884216</v>
      </c>
      <c r="K117" s="45">
        <v>0.13036773570252058</v>
      </c>
      <c r="L117" s="45">
        <v>0.13193875773409469</v>
      </c>
      <c r="M117" s="45">
        <v>0.13350556920088463</v>
      </c>
      <c r="N117" s="45">
        <v>0.13506819938461545</v>
      </c>
      <c r="O117" s="45">
        <v>0.13662667728379541</v>
      </c>
      <c r="P117" s="45">
        <v>0.13818103161610584</v>
      </c>
      <c r="Q117" s="45">
        <v>0.13973129082081681</v>
      </c>
      <c r="R117" s="45">
        <v>0.14127748306120513</v>
      </c>
    </row>
    <row r="118" spans="2:18" x14ac:dyDescent="0.35">
      <c r="B118">
        <f t="shared" si="17"/>
        <v>0.13999999999999999</v>
      </c>
      <c r="C118" s="45">
        <v>0.11021339094028781</v>
      </c>
      <c r="D118" s="45">
        <v>0.11180204371069791</v>
      </c>
      <c r="E118" s="45">
        <v>0.11338636709411443</v>
      </c>
      <c r="F118" s="45">
        <v>0.11496639140552856</v>
      </c>
      <c r="G118" s="45">
        <v>0.11654214667423979</v>
      </c>
      <c r="H118" s="45">
        <v>0.11811366264588274</v>
      </c>
      <c r="I118" s="45">
        <v>0.11968096878449153</v>
      </c>
      <c r="J118" s="45">
        <v>0.12124409427459448</v>
      </c>
      <c r="K118" s="45">
        <v>0.12280306802334051</v>
      </c>
      <c r="L118" s="45">
        <v>0.12435791866265178</v>
      </c>
      <c r="M118" s="45">
        <v>0.12590867455139709</v>
      </c>
      <c r="N118" s="45">
        <v>0.12745536377759326</v>
      </c>
      <c r="O118" s="45">
        <v>0.12899801416062018</v>
      </c>
      <c r="P118" s="45">
        <v>0.13053665325345487</v>
      </c>
      <c r="Q118" s="45">
        <v>0.13207130834492076</v>
      </c>
      <c r="R118" s="45">
        <v>0.13360200646194786</v>
      </c>
    </row>
    <row r="119" spans="2:18" x14ac:dyDescent="0.35">
      <c r="B119">
        <f t="shared" si="17"/>
        <v>0.15</v>
      </c>
      <c r="C119" s="45">
        <v>0.1027732586450345</v>
      </c>
      <c r="D119" s="45">
        <v>0.10434491157789627</v>
      </c>
      <c r="E119" s="45">
        <v>0.10591235889585926</v>
      </c>
      <c r="F119" s="45">
        <v>0.10747562963392099</v>
      </c>
      <c r="G119" s="45">
        <v>0.10903475255661088</v>
      </c>
      <c r="H119" s="45">
        <v>0.11058975615987388</v>
      </c>
      <c r="I119" s="45">
        <v>0.11214066867298667</v>
      </c>
      <c r="J119" s="45">
        <v>0.11368751806050881</v>
      </c>
      <c r="K119" s="45">
        <v>0.11523033202425759</v>
      </c>
      <c r="L119" s="45">
        <v>0.11676913800531175</v>
      </c>
      <c r="M119" s="45">
        <v>0.11830396318603631</v>
      </c>
      <c r="N119" s="45">
        <v>0.11983483449213028</v>
      </c>
      <c r="O119" s="45">
        <v>0.12136177859468988</v>
      </c>
      <c r="P119" s="45">
        <v>0.12288482191229266</v>
      </c>
      <c r="Q119" s="45">
        <v>0.12440399061309093</v>
      </c>
      <c r="R119" s="45">
        <v>0.12591931061692274</v>
      </c>
    </row>
    <row r="120" spans="2:18" x14ac:dyDescent="0.35">
      <c r="B120">
        <f t="shared" si="17"/>
        <v>0.16</v>
      </c>
      <c r="C120" s="45">
        <v>9.5324188152614342E-2</v>
      </c>
      <c r="D120" s="45">
        <v>9.6878984536777235E-2</v>
      </c>
      <c r="E120" s="45">
        <v>9.8429696957480939E-2</v>
      </c>
      <c r="F120" s="45">
        <v>9.9976353205153634E-2</v>
      </c>
      <c r="G120" s="45">
        <v>0.10151898081438437</v>
      </c>
      <c r="H120" s="45">
        <v>0.10305760706566813</v>
      </c>
      <c r="I120" s="45">
        <v>0.10459225898718971</v>
      </c>
      <c r="J120" s="45">
        <v>0.10612296335662919</v>
      </c>
      <c r="K120" s="45">
        <v>0.1076497467030002</v>
      </c>
      <c r="L120" s="45">
        <v>0.10917263530850962</v>
      </c>
      <c r="M120" s="45">
        <v>0.11069165521044111</v>
      </c>
      <c r="N120" s="45">
        <v>0.11220683220305872</v>
      </c>
      <c r="O120" s="45">
        <v>0.11371819183952714</v>
      </c>
      <c r="P120" s="45">
        <v>0.11522575943384883</v>
      </c>
      <c r="Q120" s="45">
        <v>0.11672956006281576</v>
      </c>
      <c r="R120" s="45">
        <v>0.11822961856797343</v>
      </c>
    </row>
    <row r="121" spans="2:18" x14ac:dyDescent="0.35">
      <c r="B121">
        <f t="shared" si="17"/>
        <v>0.17</v>
      </c>
      <c r="C121" s="45">
        <v>8.7866409157022263E-2</v>
      </c>
      <c r="D121" s="45">
        <v>8.9404492733598184E-2</v>
      </c>
      <c r="E121" s="45">
        <v>9.0938611892416477E-2</v>
      </c>
      <c r="F121" s="45">
        <v>9.2468793214132816E-2</v>
      </c>
      <c r="G121" s="45">
        <v>9.3995063037613624E-2</v>
      </c>
      <c r="H121" s="45">
        <v>9.5517447461554772E-2</v>
      </c>
      <c r="I121" s="45">
        <v>9.7035972346130261E-2</v>
      </c>
      <c r="J121" s="45">
        <v>9.8550663314670217E-2</v>
      </c>
      <c r="K121" s="45">
        <v>0.10006154575536352</v>
      </c>
      <c r="L121" s="45">
        <v>0.10156864482298467</v>
      </c>
      <c r="M121" s="45">
        <v>0.10307198544063989</v>
      </c>
      <c r="N121" s="45">
        <v>0.10457159230153779</v>
      </c>
      <c r="O121" s="45">
        <v>0.10606748987077186</v>
      </c>
      <c r="P121" s="45">
        <v>0.10755970238712065</v>
      </c>
      <c r="Q121" s="45">
        <v>0.10904825386486294</v>
      </c>
      <c r="R121" s="45">
        <v>0.11053316809560276</v>
      </c>
    </row>
    <row r="122" spans="2:18" x14ac:dyDescent="0.35">
      <c r="B122">
        <f t="shared" si="17"/>
        <v>0.18000000000000002</v>
      </c>
      <c r="C122" s="45">
        <v>8.0400166831293918E-2</v>
      </c>
      <c r="D122" s="45">
        <v>8.1921681800371404E-2</v>
      </c>
      <c r="E122" s="45">
        <v>8.3439349806369467E-2</v>
      </c>
      <c r="F122" s="45">
        <v>8.4953196254347274E-2</v>
      </c>
      <c r="G122" s="45">
        <v>8.6463246321063947E-2</v>
      </c>
      <c r="H122" s="45">
        <v>8.7969524956473366E-2</v>
      </c>
      <c r="I122" s="45">
        <v>8.9472056885251394E-2</v>
      </c>
      <c r="J122" s="45">
        <v>9.0970866608348189E-2</v>
      </c>
      <c r="K122" s="45">
        <v>9.2465978404564941E-2</v>
      </c>
      <c r="L122" s="45">
        <v>9.3957416332152821E-2</v>
      </c>
      <c r="M122" s="45">
        <v>9.5445204230434788E-2</v>
      </c>
      <c r="N122" s="45">
        <v>9.6929365721443173E-2</v>
      </c>
      <c r="O122" s="45">
        <v>9.8409924211575017E-2</v>
      </c>
      <c r="P122" s="45">
        <v>9.9886902893263407E-2</v>
      </c>
      <c r="Q122" s="45">
        <v>0.10136032474666212</v>
      </c>
      <c r="R122" s="45">
        <v>0.10283021254134028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LEVEL PREMIUM Model</vt:lpstr>
      <vt:lpstr>YRT Model</vt:lpstr>
      <vt:lpstr>Sensitivity Tests</vt:lpstr>
      <vt:lpstr>'LEVEL PREMIUM Model'!Print_Area</vt:lpstr>
      <vt:lpstr>'YRT Model'!Print_Area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Dad</dc:creator>
  <cp:keywords/>
  <dc:description/>
  <cp:lastModifiedBy>Connor Olechna</cp:lastModifiedBy>
  <cp:revision/>
  <dcterms:created xsi:type="dcterms:W3CDTF">2009-09-07T17:06:36Z</dcterms:created>
  <dcterms:modified xsi:type="dcterms:W3CDTF">2026-05-07T03:37:05Z</dcterms:modified>
  <cp:category/>
  <cp:contentStatus/>
</cp:coreProperties>
</file>